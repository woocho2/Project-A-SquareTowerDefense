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35076f4fa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b51b1c1397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color theme="1"/>
      <x:name val="맑은 고딕"/>
    </x:font>
    <x:font>
      <x:b/>
      <x:sz val="16"/>
      <x:color rgb="FFFFFFFF"/>
      <x:name val="맑은 고딕"/>
    </x:font>
    <x:font>
      <x:b/>
      <x:sz val="11"/>
      <x:color rgb="FF17365D"/>
      <x:name val="맑은 고딕"/>
    </x:font>
    <x:font>
      <x:i/>
      <x:sz val="11"/>
      <x:color rgb="FF666666"/>
      <x:name val="맑은 고딕"/>
    </x:font>
    <x:font>
      <x:b/>
      <x:sz val="11"/>
      <x:color rgb="FFFFFFFF"/>
      <x:name val="맑은 고딕"/>
    </x:font>
    <x:font>
      <x:sz val="8"/>
      <x:name val="돋움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>
      <x:alignment vertical="center"/>
    </x:xf>
  </x:cellStyleXfs>
  <x:cellXfs count="53">
    <x:xf numFmtId="0" fontId="0" fillId="0" borderId="0" xfId="0">
      <x:alignment vertical="center"/>
    </x:xf>
    <x:xf numFmtId="0" fontId="0" fillId="0" borderId="2" xfId="0" applyNumberFormat="1" applyFont="1" applyFill="1" applyBorder="1" applyAlignment="1">
      <x:alignment vertical="center"/>
    </x:xf>
    <x:xf numFmtId="3" fontId="0" fillId="0" borderId="2" xfId="0" applyNumberFormat="1" applyFont="1" applyFill="1" applyBorder="1" applyAlignment="1">
      <x:alignment vertical="center"/>
    </x:xf>
    <x:xf numFmtId="3" fontId="0" fillId="0" borderId="4" xfId="0" applyNumberFormat="1" applyFont="1" applyFill="1" applyBorder="1" applyAlignment="1">
      <x:alignment horizontal="right"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3" fontId="0" fillId="0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 applyAlignment="1">
      <x:alignment vertical="center" wrapText="1"/>
    </x:xf>
    <x:xf numFmtId="3" fontId="0" fillId="0" borderId="4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3" fontId="0" fillId="6" borderId="4" xfId="0" applyNumberFormat="1" applyFont="1" applyFill="1" applyBorder="1" applyAlignment="1">
      <x:alignment horizontal="right" vertical="center"/>
    </x:xf>
    <x:xf numFmtId="3" fontId="0" fillId="6" borderId="4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3" fontId="0" fillId="7" borderId="4" xfId="0" applyNumberFormat="1" applyFont="1" applyFill="1" applyBorder="1" applyAlignment="1">
      <x:alignment horizontal="right" vertical="center"/>
    </x:xf>
    <x:xf numFmtId="3" fontId="0" fillId="7" borderId="4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right" vertical="center"/>
    </x:xf>
    <x:xf numFmtId="200" fontId="0" fillId="0" borderId="4" xfId="0" applyNumberFormat="1" applyFont="1" applyFill="1" applyBorder="1" applyAlignment="1">
      <x:alignment horizontal="right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0" fontId="4" fillId="12" borderId="3" xfId="0" applyNumberFormat="1" applyFont="1" applyFill="1" applyBorder="1" applyAlignment="1">
      <x:alignment horizontal="center" vertical="center"/>
    </x:xf>
    <x:xf numFmtId="200" fontId="0" fillId="12" borderId="4" xfId="0" applyNumberFormat="1" applyFont="1" applyFill="1" applyBorder="1" applyAlignment="1">
      <x:alignment horizontal="right" vertical="center"/>
    </x:xf>
    <x:xf numFmtId="200" fontId="0" fillId="12" borderId="4" xfId="0" applyNumberFormat="1" applyFont="1" applyFill="1" applyBorder="1" applyAlignment="1">
      <x:alignment horizontal="center" vertical="center"/>
    </x:xf>
    <x:xf numFmtId="0" fontId="4" fillId="13" borderId="3" xfId="0" applyNumberFormat="1" applyFont="1" applyFill="1" applyBorder="1" applyAlignment="1">
      <x:alignment horizontal="center" vertical="center"/>
    </x:xf>
    <x:xf numFmtId="200" fontId="0" fillId="13" borderId="4" xfId="0" applyNumberFormat="1" applyFont="1" applyFill="1" applyBorder="1" applyAlignment="1">
      <x:alignment horizontal="right" vertical="center"/>
    </x:xf>
    <x:xf numFmtId="200" fontId="0" fillId="13" borderId="4" xfId="0" applyNumberFormat="1" applyFont="1" applyFill="1" applyBorder="1" applyAlignment="1">
      <x:alignment horizontal="center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cf76c9fea4d15" /><Relationship Type="http://schemas.openxmlformats.org/officeDocument/2006/relationships/theme" Target="/xl/theme/theme1.xml" Id="R1340e10368a44710" /><Relationship Type="http://schemas.openxmlformats.org/officeDocument/2006/relationships/sharedStrings" Target="/xl/sharedStrings.xml" Id="Rcbd37c97126c46e9" /><Relationship Type="http://schemas.openxmlformats.org/officeDocument/2006/relationships/worksheet" Target="/xl/worksheets/sheet1.xml" Id="Rdeb51b1c13974732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5" topLeftCell="A26" activePane="bottomLeft" state="frozen"/>
    </x:sheetView>
  </x:sheetViews>
  <x:sheetFormatPr defaultRowHeight="16.5"/>
  <x:cols>
    <x:col min="1" max="1" width="24" hidden="0" customWidth="1"/>
    <x:col min="2" max="41" width="9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</x:cols>
  <x:sheetData>
    <x:row r="1" ht="30" customHeight="1">
      <x:c r="A1" s="24" t="str">
        <x:v>웨이브별 몬스터·골드·젬 및 티어 제작 계산표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  <x:c r="AL1" s="24"/>
      <x:c r="AM1" s="24"/>
      <x:c r="AN1" s="24"/>
      <x:c r="AO1" s="24"/>
    </x:row>
    <x:row r="3" ht="36" customHeight="1">
      <x:c r="A3" s="29" t="str">
        <x:v>웨이브당 전투 턴</x:v>
      </x:c>
      <x:c r="B3" s="29" t="str">
        <x:v>사이클 1 기본 소환수 / 턴</x:v>
      </x:c>
      <x:c r="C3" s="29" t="str">
        <x:v>사이클당 웨이브 수</x:v>
      </x:c>
      <x:c r="D3" s="29" t="str">
        <x:v>일반 몬스터 골드 / 웨이브 배율</x:v>
      </x:c>
      <x:c r="E3" s="29" t="str">
        <x:v>중간보스 골드 / 기준 웨이브 배율</x:v>
      </x:c>
      <x:c r="F3" s="29" t="str">
        <x:v>중간보스 젬 / 기준 웨이브 배율</x:v>
      </x:c>
      <x:c r="G3" s="29" t="str">
        <x:v>최종보스 골드 / 웨이브 배율</x:v>
      </x:c>
      <x:c r="H3" s="29" t="str">
        <x:v>최종보스 젬 / 웨이브 배율</x:v>
      </x:c>
      <x:c r="I3" s="29" t="str">
        <x:v>보스 보상 사이클 배율</x:v>
      </x:c>
      <x:c r="J3" s="29" t="str">
        <x:v>중간보스 보상 기준 웨이브</x:v>
      </x:c>
      <x:c r="K3" s="29" t="str">
        <x:v>타워 기본 소환 시작 비용</x:v>
      </x:c>
      <x:c r="L3" s="29" t="str">
        <x:v>소환당 비용 증가</x:v>
      </x:c>
    </x:row>
    <x:row r="4" ht="36" customHeight="1">
      <x:c r="A4" s="31" t="n">
        <x:v>5</x:v>
      </x:c>
      <x:c r="B4" s="31" t="n">
        <x:v>2</x:v>
      </x:c>
      <x:c r="C4" s="31" t="n">
        <x:v>10</x:v>
      </x:c>
      <x:c r="D4" s="31" t="n">
        <x:v>10</x:v>
      </x:c>
      <x:c r="E4" s="31" t="n">
        <x:v>50</x:v>
      </x:c>
      <x:c r="F4" s="31" t="n">
        <x:v>1</x:v>
      </x:c>
      <x:c r="G4" s="31" t="n">
        <x:v>100</x:v>
      </x:c>
      <x:c r="H4" s="31" t="n">
        <x:v>2</x:v>
      </x:c>
      <x:c r="I4" s="31" t="n">
        <x:v>1</x:v>
      </x:c>
      <x:c r="J4" s="31" t="n">
        <x:v>5</x:v>
      </x:c>
      <x:c r="K4" s="31" t="n">
        <x:v>50</x:v>
      </x:c>
      <x:c r="L4" s="31" t="n">
        <x:v>2</x:v>
      </x:c>
    </x:row>
    <x:row r="5" ht="27.950000762939453" customHeight="1"/>
    <x:row r="6" ht="27.950000762939453" customHeight="1">
      <x:c r="A6" s="27" t="str">
        <x:v>요약</x:v>
      </x:c>
      <x:c r="B6" s="27" t="str">
        <x:v>값</x:v>
      </x:c>
    </x:row>
    <x:row r="7" ht="25" customHeight="1">
      <x:c r="A7" s="4" t="str">
        <x:v>1~39 일반 몬스터 수</x:v>
      </x:c>
      <x:c r="B7" s="30" t="n">
        <x:f>SUM(B29:AN29)</x:f>
        <x:v>900</x:v>
      </x:c>
    </x:row>
    <x:row r="8" ht="25" customHeight="1">
      <x:c r="A8" s="4" t="str">
        <x:v>1~39 최종보스 수</x:v>
      </x:c>
      <x:c r="B8" s="30" t="n">
        <x:f>SUM(B30:AN30)</x:f>
        <x:v>3</x:v>
      </x:c>
    </x:row>
    <x:row r="9" ht="25" customHeight="1">
      <x:c r="A9" s="4" t="str">
        <x:v>1~39 중간보스 수(보상 기준)</x:v>
      </x:c>
      <x:c r="B9" s="30" t="n">
        <x:f>SUM(B31:AN31)</x:f>
        <x:v>4</x:v>
      </x:c>
    </x:row>
    <x:row r="10" ht="25" customHeight="1">
      <x:c r="A10" s="4" t="str">
        <x:v>1~39 골드 드롭 합계</x:v>
      </x:c>
      <x:c r="B10" s="30" t="n">
        <x:f>SUM(B36:AN36)</x:f>
        <x:v>251500</x:v>
      </x:c>
    </x:row>
    <x:row r="11" ht="25" customHeight="1">
      <x:c r="A11" s="4" t="str">
        <x:v>1~39 젬 드롭 합계</x:v>
      </x:c>
      <x:c r="B11" s="30" t="n">
        <x:f>SUM(B39:AN39)</x:f>
        <x:v>530</x:v>
      </x:c>
    </x:row>
    <x:row r="12" ht="25" customHeight="1">
      <x:c r="A12" s="4" t="str">
        <x:v>1~40 골드 드롭 합계</x:v>
      </x:c>
      <x:c r="B12" s="30" t="n">
        <x:f>SUM(B36:AO36)</x:f>
        <x:v>267500</x:v>
      </x:c>
    </x:row>
    <x:row r="13" ht="25" customHeight="1">
      <x:c r="A13" s="4" t="str">
        <x:v>1~40 젬 드롭 합계</x:v>
      </x:c>
      <x:c r="B13" s="30" t="n">
        <x:f>SUM(B39:AO39)</x:f>
        <x:v>850</x:v>
      </x:c>
    </x:row>
    <x:row r="14" ht="25" customHeight="1">
      <x:c r="A14" s="4" t="str">
        <x:v>1~39 최대 기본 타워 소환 수</x:v>
      </x:c>
      <x:c r="B14" s="30" t="n">
        <x:f>INT((-(2*$K$4-$L$4)+SQRT((2*$K$4-$L$4)^2+8*$L$4*$B$10))/(2*$L$4))</x:f>
        <x:v>477</x:v>
      </x:c>
    </x:row>
    <x:row r="16" ht="33">
      <x:c r="A16" s="36" t="str">
        <x:v>티어</x:v>
      </x:c>
      <x:c r="B16" s="36" t="str">
        <x:v>필요 기본 타워 수</x:v>
      </x:c>
      <x:c r="C16" s="36" t="str">
        <x:v>최대 제작 가능 수</x:v>
      </x:c>
      <x:c r="D16" s="36" t="str">
        <x:v>남는 기본 타워 수</x:v>
      </x:c>
    </x:row>
    <x:row r="17" ht="38.099998474121094" customHeight="1">
      <x:c r="A17" s="1" t="str">
        <x:v>브론즈</x:v>
      </x:c>
      <x:c r="B17" s="30" t="n">
        <x:v>1</x:v>
      </x:c>
      <x:c r="C17" s="30" t="n">
        <x:f>INT($B$14/B17)</x:f>
        <x:v>477</x:v>
      </x:c>
      <x:c r="D17" s="30" t="n">
        <x:f>$B$14-C17*B17</x:f>
        <x:v>0</x:v>
      </x:c>
    </x:row>
    <x:row r="18">
      <x:c r="A18" s="1" t="str">
        <x:v>실버</x:v>
      </x:c>
      <x:c r="B18" s="30" t="n">
        <x:v>3</x:v>
      </x:c>
      <x:c r="C18" s="30" t="n">
        <x:f>INT($B$14/B18)</x:f>
        <x:v>159</x:v>
      </x:c>
      <x:c r="D18" s="30" t="n">
        <x:f>$B$14-C18*B18</x:f>
        <x:v>0</x:v>
      </x:c>
    </x:row>
    <x:row r="19">
      <x:c r="A19" s="1" t="str">
        <x:v>골드</x:v>
      </x:c>
      <x:c r="B19" s="30" t="n">
        <x:v>9</x:v>
      </x:c>
      <x:c r="C19" s="30" t="n">
        <x:f>INT($B$14/B19)</x:f>
        <x:v>53</x:v>
      </x:c>
      <x:c r="D19" s="30" t="n">
        <x:f>$B$14-C19*B19</x:f>
        <x:v>0</x:v>
      </x:c>
    </x:row>
    <x:row r="20">
      <x:c r="A20" s="1" t="str">
        <x:v>미스릴</x:v>
      </x:c>
      <x:c r="B20" s="30" t="n">
        <x:v>27</x:v>
      </x:c>
      <x:c r="C20" s="30" t="n">
        <x:f>INT($B$14/B20)</x:f>
        <x:v>17</x:v>
      </x:c>
      <x:c r="D20" s="30" t="n">
        <x:f>$B$14-C20*B20</x:f>
        <x:v>18</x:v>
      </x:c>
    </x:row>
    <x:row r="21">
      <x:c r="A21" s="1" t="str">
        <x:v>다이아</x:v>
      </x:c>
      <x:c r="B21" s="30" t="n">
        <x:v>81</x:v>
      </x:c>
      <x:c r="C21" s="30" t="n">
        <x:f>INT($B$14/B21)</x:f>
        <x:v>5</x:v>
      </x:c>
      <x:c r="D21" s="30" t="n">
        <x:f>$B$14-C21*B21</x:f>
        <x:v>72</x:v>
      </x:c>
    </x:row>
    <x:row r="23" ht="34" customHeight="1">
      <x:c r="A23" s="21" t="str">
        <x:v>합성 계산은 기본 타워 3개 → 다음 티어 1개 기준입니다. 1~39웨이브 골드 전부를 소환에 사용한다고 가정하며, 타워 강화·판매·기타 지출은 제외합니다.</x:v>
      </x:c>
      <x:c r="B23" s="21"/>
      <x:c r="C23" s="21"/>
      <x:c r="D23" s="21"/>
      <x:c r="E23" s="21"/>
      <x:c r="F23" s="21"/>
      <x:c r="G23" s="21"/>
      <x:c r="H23" s="21"/>
    </x:row>
    <x:row r="25" ht="26" customHeight="1">
      <x:c r="A25" s="38" t="str">
        <x:v>항목</x:v>
      </x:c>
      <x:c r="B25" s="38" t="n">
        <x:v>1</x:v>
      </x:c>
      <x:c r="C25" s="38" t="n">
        <x:v>2</x:v>
      </x:c>
      <x:c r="D25" s="38" t="n">
        <x:v>3</x:v>
      </x:c>
      <x:c r="E25" s="38" t="n">
        <x:v>4</x:v>
      </x:c>
      <x:c r="F25" s="47" t="n">
        <x:v>5</x:v>
      </x:c>
      <x:c r="G25" s="38" t="n">
        <x:v>6</x:v>
      </x:c>
      <x:c r="H25" s="38" t="n">
        <x:v>7</x:v>
      </x:c>
      <x:c r="I25" s="38" t="n">
        <x:v>8</x:v>
      </x:c>
      <x:c r="J25" s="38" t="n">
        <x:v>9</x:v>
      </x:c>
      <x:c r="K25" s="50" t="n">
        <x:v>10</x:v>
      </x:c>
      <x:c r="L25" s="38" t="n">
        <x:v>11</x:v>
      </x:c>
      <x:c r="M25" s="38" t="n">
        <x:v>12</x:v>
      </x:c>
      <x:c r="N25" s="38" t="n">
        <x:v>13</x:v>
      </x:c>
      <x:c r="O25" s="38" t="n">
        <x:v>14</x:v>
      </x:c>
      <x:c r="P25" s="47" t="n">
        <x:v>15</x:v>
      </x:c>
      <x:c r="Q25" s="38" t="n">
        <x:v>16</x:v>
      </x:c>
      <x:c r="R25" s="38" t="n">
        <x:v>17</x:v>
      </x:c>
      <x:c r="S25" s="38" t="n">
        <x:v>18</x:v>
      </x:c>
      <x:c r="T25" s="38" t="n">
        <x:v>19</x:v>
      </x:c>
      <x:c r="U25" s="50" t="n">
        <x:v>20</x:v>
      </x:c>
      <x:c r="V25" s="38" t="n">
        <x:v>21</x:v>
      </x:c>
      <x:c r="W25" s="38" t="n">
        <x:v>22</x:v>
      </x:c>
      <x:c r="X25" s="38" t="n">
        <x:v>23</x:v>
      </x:c>
      <x:c r="Y25" s="38" t="n">
        <x:v>24</x:v>
      </x:c>
      <x:c r="Z25" s="47" t="n">
        <x:v>25</x:v>
      </x:c>
      <x:c r="AA25" s="38" t="n">
        <x:v>26</x:v>
      </x:c>
      <x:c r="AB25" s="38" t="n">
        <x:v>27</x:v>
      </x:c>
      <x:c r="AC25" s="38" t="n">
        <x:v>28</x:v>
      </x:c>
      <x:c r="AD25" s="38" t="n">
        <x:v>29</x:v>
      </x:c>
      <x:c r="AE25" s="50" t="n">
        <x:v>30</x:v>
      </x:c>
      <x:c r="AF25" s="38" t="n">
        <x:v>31</x:v>
      </x:c>
      <x:c r="AG25" s="38" t="n">
        <x:v>32</x:v>
      </x:c>
      <x:c r="AH25" s="38" t="n">
        <x:v>33</x:v>
      </x:c>
      <x:c r="AI25" s="38" t="n">
        <x:v>34</x:v>
      </x:c>
      <x:c r="AJ25" s="47" t="n">
        <x:v>35</x:v>
      </x:c>
      <x:c r="AK25" s="38" t="n">
        <x:v>36</x:v>
      </x:c>
      <x:c r="AL25" s="38" t="n">
        <x:v>37</x:v>
      </x:c>
      <x:c r="AM25" s="38" t="n">
        <x:v>38</x:v>
      </x:c>
      <x:c r="AN25" s="38" t="n">
        <x:v>39</x:v>
      </x:c>
      <x:c r="AO25" s="50" t="n">
        <x:v>40</x:v>
      </x:c>
    </x:row>
    <x:row r="26">
      <x:c r="A26" s="42" t="str">
        <x:v>사이클</x:v>
      </x:c>
      <x:c r="B26" s="45" t="n">
        <x:f t="shared" ref="B26:AO26" si="0">INT((B$25-1)/$C$4)+1</x:f>
        <x:v>1</x:v>
      </x:c>
      <x:c r="C26" s="45" t="n">
        <x:f t="shared" si="0">INT((C$25-1)/$C$4)+1</x:f>
        <x:v>1</x:v>
      </x:c>
      <x:c r="D26" s="45" t="n">
        <x:f t="shared" si="0">INT((D$25-1)/$C$4)+1</x:f>
        <x:v>1</x:v>
      </x:c>
      <x:c r="E26" s="45" t="n">
        <x:f t="shared" si="0">INT((E$25-1)/$C$4)+1</x:f>
        <x:v>1</x:v>
      </x:c>
      <x:c r="F26" s="48" t="n">
        <x:f t="shared" si="0">INT((F$25-1)/$C$4)+1</x:f>
        <x:v>1</x:v>
      </x:c>
      <x:c r="G26" s="45" t="n">
        <x:f t="shared" si="0">INT((G$25-1)/$C$4)+1</x:f>
        <x:v>1</x:v>
      </x:c>
      <x:c r="H26" s="45" t="n">
        <x:f t="shared" si="0">INT((H$25-1)/$C$4)+1</x:f>
        <x:v>1</x:v>
      </x:c>
      <x:c r="I26" s="45" t="n">
        <x:f t="shared" si="0">INT((I$25-1)/$C$4)+1</x:f>
        <x:v>1</x:v>
      </x:c>
      <x:c r="J26" s="45" t="n">
        <x:f t="shared" si="0">INT((J$25-1)/$C$4)+1</x:f>
        <x:v>1</x:v>
      </x:c>
      <x:c r="K26" s="51" t="n">
        <x:f t="shared" si="0">INT((K$25-1)/$C$4)+1</x:f>
        <x:v>1</x:v>
      </x:c>
      <x:c r="L26" s="45" t="n">
        <x:f t="shared" si="0">INT((L$25-1)/$C$4)+1</x:f>
        <x:v>2</x:v>
      </x:c>
      <x:c r="M26" s="45" t="n">
        <x:f t="shared" si="0">INT((M$25-1)/$C$4)+1</x:f>
        <x:v>2</x:v>
      </x:c>
      <x:c r="N26" s="45" t="n">
        <x:f t="shared" si="0">INT((N$25-1)/$C$4)+1</x:f>
        <x:v>2</x:v>
      </x:c>
      <x:c r="O26" s="45" t="n">
        <x:f t="shared" si="0">INT((O$25-1)/$C$4)+1</x:f>
        <x:v>2</x:v>
      </x:c>
      <x:c r="P26" s="48" t="n">
        <x:f t="shared" si="0">INT((P$25-1)/$C$4)+1</x:f>
        <x:v>2</x:v>
      </x:c>
      <x:c r="Q26" s="45" t="n">
        <x:f t="shared" si="0">INT((Q$25-1)/$C$4)+1</x:f>
        <x:v>2</x:v>
      </x:c>
      <x:c r="R26" s="45" t="n">
        <x:f t="shared" si="0">INT((R$25-1)/$C$4)+1</x:f>
        <x:v>2</x:v>
      </x:c>
      <x:c r="S26" s="45" t="n">
        <x:f t="shared" si="0">INT((S$25-1)/$C$4)+1</x:f>
        <x:v>2</x:v>
      </x:c>
      <x:c r="T26" s="45" t="n">
        <x:f t="shared" si="0">INT((T$25-1)/$C$4)+1</x:f>
        <x:v>2</x:v>
      </x:c>
      <x:c r="U26" s="51" t="n">
        <x:f t="shared" si="0">INT((U$25-1)/$C$4)+1</x:f>
        <x:v>2</x:v>
      </x:c>
      <x:c r="V26" s="45" t="n">
        <x:f t="shared" si="0">INT((V$25-1)/$C$4)+1</x:f>
        <x:v>3</x:v>
      </x:c>
      <x:c r="W26" s="45" t="n">
        <x:f t="shared" si="0">INT((W$25-1)/$C$4)+1</x:f>
        <x:v>3</x:v>
      </x:c>
      <x:c r="X26" s="45" t="n">
        <x:f t="shared" si="0">INT((X$25-1)/$C$4)+1</x:f>
        <x:v>3</x:v>
      </x:c>
      <x:c r="Y26" s="45" t="n">
        <x:f t="shared" si="0">INT((Y$25-1)/$C$4)+1</x:f>
        <x:v>3</x:v>
      </x:c>
      <x:c r="Z26" s="48" t="n">
        <x:f t="shared" si="0">INT((Z$25-1)/$C$4)+1</x:f>
        <x:v>3</x:v>
      </x:c>
      <x:c r="AA26" s="45" t="n">
        <x:f t="shared" si="0">INT((AA$25-1)/$C$4)+1</x:f>
        <x:v>3</x:v>
      </x:c>
      <x:c r="AB26" s="45" t="n">
        <x:f t="shared" si="0">INT((AB$25-1)/$C$4)+1</x:f>
        <x:v>3</x:v>
      </x:c>
      <x:c r="AC26" s="45" t="n">
        <x:f t="shared" si="0">INT((AC$25-1)/$C$4)+1</x:f>
        <x:v>3</x:v>
      </x:c>
      <x:c r="AD26" s="45" t="n">
        <x:f t="shared" si="0">INT((AD$25-1)/$C$4)+1</x:f>
        <x:v>3</x:v>
      </x:c>
      <x:c r="AE26" s="51" t="n">
        <x:f t="shared" si="0">INT((AE$25-1)/$C$4)+1</x:f>
        <x:v>3</x:v>
      </x:c>
      <x:c r="AF26" s="45" t="n">
        <x:f t="shared" si="0">INT((AF$25-1)/$C$4)+1</x:f>
        <x:v>4</x:v>
      </x:c>
      <x:c r="AG26" s="45" t="n">
        <x:f t="shared" si="0">INT((AG$25-1)/$C$4)+1</x:f>
        <x:v>4</x:v>
      </x:c>
      <x:c r="AH26" s="45" t="n">
        <x:f t="shared" si="0">INT((AH$25-1)/$C$4)+1</x:f>
        <x:v>4</x:v>
      </x:c>
      <x:c r="AI26" s="45" t="n">
        <x:f t="shared" si="0">INT((AI$25-1)/$C$4)+1</x:f>
        <x:v>4</x:v>
      </x:c>
      <x:c r="AJ26" s="48" t="n">
        <x:f t="shared" si="0">INT((AJ$25-1)/$C$4)+1</x:f>
        <x:v>4</x:v>
      </x:c>
      <x:c r="AK26" s="45" t="n">
        <x:f t="shared" si="0">INT((AK$25-1)/$C$4)+1</x:f>
        <x:v>4</x:v>
      </x:c>
      <x:c r="AL26" s="45" t="n">
        <x:f t="shared" si="0">INT((AL$25-1)/$C$4)+1</x:f>
        <x:v>4</x:v>
      </x:c>
      <x:c r="AM26" s="45" t="n">
        <x:f t="shared" si="0">INT((AM$25-1)/$C$4)+1</x:f>
        <x:v>4</x:v>
      </x:c>
      <x:c r="AN26" s="45" t="n">
        <x:f t="shared" si="0">INT((AN$25-1)/$C$4)+1</x:f>
        <x:v>4</x:v>
      </x:c>
      <x:c r="AO26" s="51" t="n">
        <x:f t="shared" si="0">INT((AO$25-1)/$C$4)+1</x:f>
        <x:v>4</x:v>
      </x:c>
    </x:row>
    <x:row r="27">
      <x:c r="A27" s="42" t="str">
        <x:v>사이클 배율</x:v>
      </x:c>
      <x:c r="B27" s="45" t="n">
        <x:f t="shared" ref="B27:AO27" si="1">B26</x:f>
        <x:v>1</x:v>
      </x:c>
      <x:c r="C27" s="45" t="n">
        <x:f t="shared" si="1">C26</x:f>
        <x:v>1</x:v>
      </x:c>
      <x:c r="D27" s="45" t="n">
        <x:f t="shared" si="1">D26</x:f>
        <x:v>1</x:v>
      </x:c>
      <x:c r="E27" s="45" t="n">
        <x:f t="shared" si="1">E26</x:f>
        <x:v>1</x:v>
      </x:c>
      <x:c r="F27" s="48" t="n">
        <x:f t="shared" si="1">F26</x:f>
        <x:v>1</x:v>
      </x:c>
      <x:c r="G27" s="45" t="n">
        <x:f t="shared" si="1">G26</x:f>
        <x:v>1</x:v>
      </x:c>
      <x:c r="H27" s="45" t="n">
        <x:f t="shared" si="1">H26</x:f>
        <x:v>1</x:v>
      </x:c>
      <x:c r="I27" s="45" t="n">
        <x:f t="shared" si="1">I26</x:f>
        <x:v>1</x:v>
      </x:c>
      <x:c r="J27" s="45" t="n">
        <x:f t="shared" si="1">J26</x:f>
        <x:v>1</x:v>
      </x:c>
      <x:c r="K27" s="51" t="n">
        <x:f t="shared" si="1">K26</x:f>
        <x:v>1</x:v>
      </x:c>
      <x:c r="L27" s="45" t="n">
        <x:f t="shared" si="1">L26</x:f>
        <x:v>2</x:v>
      </x:c>
      <x:c r="M27" s="45" t="n">
        <x:f t="shared" si="1">M26</x:f>
        <x:v>2</x:v>
      </x:c>
      <x:c r="N27" s="45" t="n">
        <x:f t="shared" si="1">N26</x:f>
        <x:v>2</x:v>
      </x:c>
      <x:c r="O27" s="45" t="n">
        <x:f t="shared" si="1">O26</x:f>
        <x:v>2</x:v>
      </x:c>
      <x:c r="P27" s="48" t="n">
        <x:f t="shared" si="1">P26</x:f>
        <x:v>2</x:v>
      </x:c>
      <x:c r="Q27" s="45" t="n">
        <x:f t="shared" si="1">Q26</x:f>
        <x:v>2</x:v>
      </x:c>
      <x:c r="R27" s="45" t="n">
        <x:f t="shared" si="1">R26</x:f>
        <x:v>2</x:v>
      </x:c>
      <x:c r="S27" s="45" t="n">
        <x:f t="shared" si="1">S26</x:f>
        <x:v>2</x:v>
      </x:c>
      <x:c r="T27" s="45" t="n">
        <x:f t="shared" si="1">T26</x:f>
        <x:v>2</x:v>
      </x:c>
      <x:c r="U27" s="51" t="n">
        <x:f t="shared" si="1">U26</x:f>
        <x:v>2</x:v>
      </x:c>
      <x:c r="V27" s="45" t="n">
        <x:f t="shared" si="1">V26</x:f>
        <x:v>3</x:v>
      </x:c>
      <x:c r="W27" s="45" t="n">
        <x:f t="shared" si="1">W26</x:f>
        <x:v>3</x:v>
      </x:c>
      <x:c r="X27" s="45" t="n">
        <x:f t="shared" si="1">X26</x:f>
        <x:v>3</x:v>
      </x:c>
      <x:c r="Y27" s="45" t="n">
        <x:f t="shared" si="1">Y26</x:f>
        <x:v>3</x:v>
      </x:c>
      <x:c r="Z27" s="48" t="n">
        <x:f t="shared" si="1">Z26</x:f>
        <x:v>3</x:v>
      </x:c>
      <x:c r="AA27" s="45" t="n">
        <x:f t="shared" si="1">AA26</x:f>
        <x:v>3</x:v>
      </x:c>
      <x:c r="AB27" s="45" t="n">
        <x:f t="shared" si="1">AB26</x:f>
        <x:v>3</x:v>
      </x:c>
      <x:c r="AC27" s="45" t="n">
        <x:f t="shared" si="1">AC26</x:f>
        <x:v>3</x:v>
      </x:c>
      <x:c r="AD27" s="45" t="n">
        <x:f t="shared" si="1">AD26</x:f>
        <x:v>3</x:v>
      </x:c>
      <x:c r="AE27" s="51" t="n">
        <x:f t="shared" si="1">AE26</x:f>
        <x:v>3</x:v>
      </x:c>
      <x:c r="AF27" s="45" t="n">
        <x:f t="shared" si="1">AF26</x:f>
        <x:v>4</x:v>
      </x:c>
      <x:c r="AG27" s="45" t="n">
        <x:f t="shared" si="1">AG26</x:f>
        <x:v>4</x:v>
      </x:c>
      <x:c r="AH27" s="45" t="n">
        <x:f t="shared" si="1">AH26</x:f>
        <x:v>4</x:v>
      </x:c>
      <x:c r="AI27" s="45" t="n">
        <x:f t="shared" si="1">AI26</x:f>
        <x:v>4</x:v>
      </x:c>
      <x:c r="AJ27" s="48" t="n">
        <x:f t="shared" si="1">AJ26</x:f>
        <x:v>4</x:v>
      </x:c>
      <x:c r="AK27" s="45" t="n">
        <x:f t="shared" si="1">AK26</x:f>
        <x:v>4</x:v>
      </x:c>
      <x:c r="AL27" s="45" t="n">
        <x:f t="shared" si="1">AL26</x:f>
        <x:v>4</x:v>
      </x:c>
      <x:c r="AM27" s="45" t="n">
        <x:f t="shared" si="1">AM26</x:f>
        <x:v>4</x:v>
      </x:c>
      <x:c r="AN27" s="45" t="n">
        <x:f t="shared" si="1">AN26</x:f>
        <x:v>4</x:v>
      </x:c>
      <x:c r="AO27" s="51" t="n">
        <x:f t="shared" si="1">AO26</x:f>
        <x:v>4</x:v>
      </x:c>
    </x:row>
    <x:row r="28">
      <x:c r="A28" s="42" t="str">
        <x:v>웨이브 유형</x:v>
      </x:c>
      <x:c r="B28" s="46" t="str">
        <x:f t="shared" ref="B28:AO28" si="2">IF(MOD(B$25,$C$4)=0,"최종보스",IF(MOD(B$25-1,$C$4)=$J$4-1,"중간보스 기준","일반"))</x:f>
        <x:v>일반</x:v>
      </x:c>
      <x:c r="C28" s="46" t="str">
        <x:f t="shared" si="2">IF(MOD(C$25,$C$4)=0,"최종보스",IF(MOD(C$25-1,$C$4)=$J$4-1,"중간보스 기준","일반"))</x:f>
        <x:v>일반</x:v>
      </x:c>
      <x:c r="D28" s="46" t="str">
        <x:f t="shared" si="2">IF(MOD(D$25,$C$4)=0,"최종보스",IF(MOD(D$25-1,$C$4)=$J$4-1,"중간보스 기준","일반"))</x:f>
        <x:v>일반</x:v>
      </x:c>
      <x:c r="E28" s="46" t="str">
        <x:f t="shared" si="2">IF(MOD(E$25,$C$4)=0,"최종보스",IF(MOD(E$25-1,$C$4)=$J$4-1,"중간보스 기준","일반"))</x:f>
        <x:v>일반</x:v>
      </x:c>
      <x:c r="F28" s="49" t="str">
        <x:f t="shared" si="2">IF(MOD(F$25,$C$4)=0,"최종보스",IF(MOD(F$25-1,$C$4)=$J$4-1,"중간보스 기준","일반"))</x:f>
        <x:v>중간보스 기준</x:v>
      </x:c>
      <x:c r="G28" s="46" t="str">
        <x:f t="shared" si="2">IF(MOD(G$25,$C$4)=0,"최종보스",IF(MOD(G$25-1,$C$4)=$J$4-1,"중간보스 기준","일반"))</x:f>
        <x:v>일반</x:v>
      </x:c>
      <x:c r="H28" s="46" t="str">
        <x:f t="shared" si="2">IF(MOD(H$25,$C$4)=0,"최종보스",IF(MOD(H$25-1,$C$4)=$J$4-1,"중간보스 기준","일반"))</x:f>
        <x:v>일반</x:v>
      </x:c>
      <x:c r="I28" s="46" t="str">
        <x:f t="shared" si="2">IF(MOD(I$25,$C$4)=0,"최종보스",IF(MOD(I$25-1,$C$4)=$J$4-1,"중간보스 기준","일반"))</x:f>
        <x:v>일반</x:v>
      </x:c>
      <x:c r="J28" s="46" t="str">
        <x:f t="shared" si="2">IF(MOD(J$25,$C$4)=0,"최종보스",IF(MOD(J$25-1,$C$4)=$J$4-1,"중간보스 기준","일반"))</x:f>
        <x:v>일반</x:v>
      </x:c>
      <x:c r="K28" s="52" t="str">
        <x:f t="shared" si="2">IF(MOD(K$25,$C$4)=0,"최종보스",IF(MOD(K$25-1,$C$4)=$J$4-1,"중간보스 기준","일반"))</x:f>
        <x:v>최종보스</x:v>
      </x:c>
      <x:c r="L28" s="46" t="str">
        <x:f t="shared" si="2">IF(MOD(L$25,$C$4)=0,"최종보스",IF(MOD(L$25-1,$C$4)=$J$4-1,"중간보스 기준","일반"))</x:f>
        <x:v>일반</x:v>
      </x:c>
      <x:c r="M28" s="46" t="str">
        <x:f t="shared" si="2">IF(MOD(M$25,$C$4)=0,"최종보스",IF(MOD(M$25-1,$C$4)=$J$4-1,"중간보스 기준","일반"))</x:f>
        <x:v>일반</x:v>
      </x:c>
      <x:c r="N28" s="46" t="str">
        <x:f t="shared" si="2">IF(MOD(N$25,$C$4)=0,"최종보스",IF(MOD(N$25-1,$C$4)=$J$4-1,"중간보스 기준","일반"))</x:f>
        <x:v>일반</x:v>
      </x:c>
      <x:c r="O28" s="46" t="str">
        <x:f t="shared" si="2">IF(MOD(O$25,$C$4)=0,"최종보스",IF(MOD(O$25-1,$C$4)=$J$4-1,"중간보스 기준","일반"))</x:f>
        <x:v>일반</x:v>
      </x:c>
      <x:c r="P28" s="49" t="str">
        <x:f t="shared" si="2">IF(MOD(P$25,$C$4)=0,"최종보스",IF(MOD(P$25-1,$C$4)=$J$4-1,"중간보스 기준","일반"))</x:f>
        <x:v>중간보스 기준</x:v>
      </x:c>
      <x:c r="Q28" s="46" t="str">
        <x:f t="shared" si="2">IF(MOD(Q$25,$C$4)=0,"최종보스",IF(MOD(Q$25-1,$C$4)=$J$4-1,"중간보스 기준","일반"))</x:f>
        <x:v>일반</x:v>
      </x:c>
      <x:c r="R28" s="46" t="str">
        <x:f t="shared" si="2">IF(MOD(R$25,$C$4)=0,"최종보스",IF(MOD(R$25-1,$C$4)=$J$4-1,"중간보스 기준","일반"))</x:f>
        <x:v>일반</x:v>
      </x:c>
      <x:c r="S28" s="46" t="str">
        <x:f t="shared" si="2">IF(MOD(S$25,$C$4)=0,"최종보스",IF(MOD(S$25-1,$C$4)=$J$4-1,"중간보스 기준","일반"))</x:f>
        <x:v>일반</x:v>
      </x:c>
      <x:c r="T28" s="46" t="str">
        <x:f t="shared" si="2">IF(MOD(T$25,$C$4)=0,"최종보스",IF(MOD(T$25-1,$C$4)=$J$4-1,"중간보스 기준","일반"))</x:f>
        <x:v>일반</x:v>
      </x:c>
      <x:c r="U28" s="52" t="str">
        <x:f t="shared" si="2">IF(MOD(U$25,$C$4)=0,"최종보스",IF(MOD(U$25-1,$C$4)=$J$4-1,"중간보스 기준","일반"))</x:f>
        <x:v>최종보스</x:v>
      </x:c>
      <x:c r="V28" s="46" t="str">
        <x:f t="shared" si="2">IF(MOD(V$25,$C$4)=0,"최종보스",IF(MOD(V$25-1,$C$4)=$J$4-1,"중간보스 기준","일반"))</x:f>
        <x:v>일반</x:v>
      </x:c>
      <x:c r="W28" s="46" t="str">
        <x:f t="shared" si="2">IF(MOD(W$25,$C$4)=0,"최종보스",IF(MOD(W$25-1,$C$4)=$J$4-1,"중간보스 기준","일반"))</x:f>
        <x:v>일반</x:v>
      </x:c>
      <x:c r="X28" s="46" t="str">
        <x:f t="shared" si="2">IF(MOD(X$25,$C$4)=0,"최종보스",IF(MOD(X$25-1,$C$4)=$J$4-1,"중간보스 기준","일반"))</x:f>
        <x:v>일반</x:v>
      </x:c>
      <x:c r="Y28" s="46" t="str">
        <x:f t="shared" si="2">IF(MOD(Y$25,$C$4)=0,"최종보스",IF(MOD(Y$25-1,$C$4)=$J$4-1,"중간보스 기준","일반"))</x:f>
        <x:v>일반</x:v>
      </x:c>
      <x:c r="Z28" s="49" t="str">
        <x:f t="shared" si="2">IF(MOD(Z$25,$C$4)=0,"최종보스",IF(MOD(Z$25-1,$C$4)=$J$4-1,"중간보스 기준","일반"))</x:f>
        <x:v>중간보스 기준</x:v>
      </x:c>
      <x:c r="AA28" s="46" t="str">
        <x:f t="shared" si="2">IF(MOD(AA$25,$C$4)=0,"최종보스",IF(MOD(AA$25-1,$C$4)=$J$4-1,"중간보스 기준","일반"))</x:f>
        <x:v>일반</x:v>
      </x:c>
      <x:c r="AB28" s="46" t="str">
        <x:f t="shared" si="2">IF(MOD(AB$25,$C$4)=0,"최종보스",IF(MOD(AB$25-1,$C$4)=$J$4-1,"중간보스 기준","일반"))</x:f>
        <x:v>일반</x:v>
      </x:c>
      <x:c r="AC28" s="46" t="str">
        <x:f t="shared" si="2">IF(MOD(AC$25,$C$4)=0,"최종보스",IF(MOD(AC$25-1,$C$4)=$J$4-1,"중간보스 기준","일반"))</x:f>
        <x:v>일반</x:v>
      </x:c>
      <x:c r="AD28" s="46" t="str">
        <x:f t="shared" si="2">IF(MOD(AD$25,$C$4)=0,"최종보스",IF(MOD(AD$25-1,$C$4)=$J$4-1,"중간보스 기준","일반"))</x:f>
        <x:v>일반</x:v>
      </x:c>
      <x:c r="AE28" s="52" t="str">
        <x:f t="shared" si="2">IF(MOD(AE$25,$C$4)=0,"최종보스",IF(MOD(AE$25-1,$C$4)=$J$4-1,"중간보스 기준","일반"))</x:f>
        <x:v>최종보스</x:v>
      </x:c>
      <x:c r="AF28" s="46" t="str">
        <x:f t="shared" si="2">IF(MOD(AF$25,$C$4)=0,"최종보스",IF(MOD(AF$25-1,$C$4)=$J$4-1,"중간보스 기준","일반"))</x:f>
        <x:v>일반</x:v>
      </x:c>
      <x:c r="AG28" s="46" t="str">
        <x:f t="shared" si="2">IF(MOD(AG$25,$C$4)=0,"최종보스",IF(MOD(AG$25-1,$C$4)=$J$4-1,"중간보스 기준","일반"))</x:f>
        <x:v>일반</x:v>
      </x:c>
      <x:c r="AH28" s="46" t="str">
        <x:f t="shared" si="2">IF(MOD(AH$25,$C$4)=0,"최종보스",IF(MOD(AH$25-1,$C$4)=$J$4-1,"중간보스 기준","일반"))</x:f>
        <x:v>일반</x:v>
      </x:c>
      <x:c r="AI28" s="46" t="str">
        <x:f t="shared" si="2">IF(MOD(AI$25,$C$4)=0,"최종보스",IF(MOD(AI$25-1,$C$4)=$J$4-1,"중간보스 기준","일반"))</x:f>
        <x:v>일반</x:v>
      </x:c>
      <x:c r="AJ28" s="49" t="str">
        <x:f t="shared" si="2">IF(MOD(AJ$25,$C$4)=0,"최종보스",IF(MOD(AJ$25-1,$C$4)=$J$4-1,"중간보스 기준","일반"))</x:f>
        <x:v>중간보스 기준</x:v>
      </x:c>
      <x:c r="AK28" s="46" t="str">
        <x:f t="shared" si="2">IF(MOD(AK$25,$C$4)=0,"최종보스",IF(MOD(AK$25-1,$C$4)=$J$4-1,"중간보스 기준","일반"))</x:f>
        <x:v>일반</x:v>
      </x:c>
      <x:c r="AL28" s="46" t="str">
        <x:f t="shared" si="2">IF(MOD(AL$25,$C$4)=0,"최종보스",IF(MOD(AL$25-1,$C$4)=$J$4-1,"중간보스 기준","일반"))</x:f>
        <x:v>일반</x:v>
      </x:c>
      <x:c r="AM28" s="46" t="str">
        <x:f t="shared" si="2">IF(MOD(AM$25,$C$4)=0,"최종보스",IF(MOD(AM$25-1,$C$4)=$J$4-1,"중간보스 기준","일반"))</x:f>
        <x:v>일반</x:v>
      </x:c>
      <x:c r="AN28" s="46" t="str">
        <x:f t="shared" si="2">IF(MOD(AN$25,$C$4)=0,"최종보스",IF(MOD(AN$25-1,$C$4)=$J$4-1,"중간보스 기준","일반"))</x:f>
        <x:v>일반</x:v>
      </x:c>
      <x:c r="AO28" s="52" t="str">
        <x:f t="shared" si="2">IF(MOD(AO$25,$C$4)=0,"최종보스",IF(MOD(AO$25-1,$C$4)=$J$4-1,"중간보스 기준","일반"))</x:f>
        <x:v>최종보스</x:v>
      </x:c>
    </x:row>
    <x:row r="29">
      <x:c r="A29" s="42" t="str">
        <x:v>일반 몬스터 수</x:v>
      </x:c>
      <x:c r="B29" s="45" t="n">
        <x:f t="shared" ref="B29:AO29" si="3">IF(MOD(B$25,$C$4)=0,0,$B$4*B26*$A$4)</x:f>
        <x:v>10</x:v>
      </x:c>
      <x:c r="C29" s="45" t="n">
        <x:f t="shared" si="3">IF(MOD(C$25,$C$4)=0,0,$B$4*C26*$A$4)</x:f>
        <x:v>10</x:v>
      </x:c>
      <x:c r="D29" s="45" t="n">
        <x:f t="shared" si="3">IF(MOD(D$25,$C$4)=0,0,$B$4*D26*$A$4)</x:f>
        <x:v>10</x:v>
      </x:c>
      <x:c r="E29" s="45" t="n">
        <x:f t="shared" si="3">IF(MOD(E$25,$C$4)=0,0,$B$4*E26*$A$4)</x:f>
        <x:v>10</x:v>
      </x:c>
      <x:c r="F29" s="48" t="n">
        <x:f t="shared" si="3">IF(MOD(F$25,$C$4)=0,0,$B$4*F26*$A$4)</x:f>
        <x:v>10</x:v>
      </x:c>
      <x:c r="G29" s="45" t="n">
        <x:f t="shared" si="3">IF(MOD(G$25,$C$4)=0,0,$B$4*G26*$A$4)</x:f>
        <x:v>10</x:v>
      </x:c>
      <x:c r="H29" s="45" t="n">
        <x:f t="shared" si="3">IF(MOD(H$25,$C$4)=0,0,$B$4*H26*$A$4)</x:f>
        <x:v>10</x:v>
      </x:c>
      <x:c r="I29" s="45" t="n">
        <x:f t="shared" si="3">IF(MOD(I$25,$C$4)=0,0,$B$4*I26*$A$4)</x:f>
        <x:v>10</x:v>
      </x:c>
      <x:c r="J29" s="45" t="n">
        <x:f t="shared" si="3">IF(MOD(J$25,$C$4)=0,0,$B$4*J26*$A$4)</x:f>
        <x:v>10</x:v>
      </x:c>
      <x:c r="K29" s="51" t="n">
        <x:f t="shared" si="3">IF(MOD(K$25,$C$4)=0,0,$B$4*K26*$A$4)</x:f>
        <x:v>0</x:v>
      </x:c>
      <x:c r="L29" s="45" t="n">
        <x:f t="shared" si="3">IF(MOD(L$25,$C$4)=0,0,$B$4*L26*$A$4)</x:f>
        <x:v>20</x:v>
      </x:c>
      <x:c r="M29" s="45" t="n">
        <x:f t="shared" si="3">IF(MOD(M$25,$C$4)=0,0,$B$4*M26*$A$4)</x:f>
        <x:v>20</x:v>
      </x:c>
      <x:c r="N29" s="45" t="n">
        <x:f t="shared" si="3">IF(MOD(N$25,$C$4)=0,0,$B$4*N26*$A$4)</x:f>
        <x:v>20</x:v>
      </x:c>
      <x:c r="O29" s="45" t="n">
        <x:f t="shared" si="3">IF(MOD(O$25,$C$4)=0,0,$B$4*O26*$A$4)</x:f>
        <x:v>20</x:v>
      </x:c>
      <x:c r="P29" s="48" t="n">
        <x:f t="shared" si="3">IF(MOD(P$25,$C$4)=0,0,$B$4*P26*$A$4)</x:f>
        <x:v>20</x:v>
      </x:c>
      <x:c r="Q29" s="45" t="n">
        <x:f t="shared" si="3">IF(MOD(Q$25,$C$4)=0,0,$B$4*Q26*$A$4)</x:f>
        <x:v>20</x:v>
      </x:c>
      <x:c r="R29" s="45" t="n">
        <x:f t="shared" si="3">IF(MOD(R$25,$C$4)=0,0,$B$4*R26*$A$4)</x:f>
        <x:v>20</x:v>
      </x:c>
      <x:c r="S29" s="45" t="n">
        <x:f t="shared" si="3">IF(MOD(S$25,$C$4)=0,0,$B$4*S26*$A$4)</x:f>
        <x:v>20</x:v>
      </x:c>
      <x:c r="T29" s="45" t="n">
        <x:f t="shared" si="3">IF(MOD(T$25,$C$4)=0,0,$B$4*T26*$A$4)</x:f>
        <x:v>20</x:v>
      </x:c>
      <x:c r="U29" s="51" t="n">
        <x:f t="shared" si="3">IF(MOD(U$25,$C$4)=0,0,$B$4*U26*$A$4)</x:f>
        <x:v>0</x:v>
      </x:c>
      <x:c r="V29" s="45" t="n">
        <x:f t="shared" si="3">IF(MOD(V$25,$C$4)=0,0,$B$4*V26*$A$4)</x:f>
        <x:v>30</x:v>
      </x:c>
      <x:c r="W29" s="45" t="n">
        <x:f t="shared" si="3">IF(MOD(W$25,$C$4)=0,0,$B$4*W26*$A$4)</x:f>
        <x:v>30</x:v>
      </x:c>
      <x:c r="X29" s="45" t="n">
        <x:f t="shared" si="3">IF(MOD(X$25,$C$4)=0,0,$B$4*X26*$A$4)</x:f>
        <x:v>30</x:v>
      </x:c>
      <x:c r="Y29" s="45" t="n">
        <x:f t="shared" si="3">IF(MOD(Y$25,$C$4)=0,0,$B$4*Y26*$A$4)</x:f>
        <x:v>30</x:v>
      </x:c>
      <x:c r="Z29" s="48" t="n">
        <x:f t="shared" si="3">IF(MOD(Z$25,$C$4)=0,0,$B$4*Z26*$A$4)</x:f>
        <x:v>30</x:v>
      </x:c>
      <x:c r="AA29" s="45" t="n">
        <x:f t="shared" si="3">IF(MOD(AA$25,$C$4)=0,0,$B$4*AA26*$A$4)</x:f>
        <x:v>30</x:v>
      </x:c>
      <x:c r="AB29" s="45" t="n">
        <x:f t="shared" si="3">IF(MOD(AB$25,$C$4)=0,0,$B$4*AB26*$A$4)</x:f>
        <x:v>30</x:v>
      </x:c>
      <x:c r="AC29" s="45" t="n">
        <x:f t="shared" si="3">IF(MOD(AC$25,$C$4)=0,0,$B$4*AC26*$A$4)</x:f>
        <x:v>30</x:v>
      </x:c>
      <x:c r="AD29" s="45" t="n">
        <x:f t="shared" si="3">IF(MOD(AD$25,$C$4)=0,0,$B$4*AD26*$A$4)</x:f>
        <x:v>30</x:v>
      </x:c>
      <x:c r="AE29" s="51" t="n">
        <x:f t="shared" si="3">IF(MOD(AE$25,$C$4)=0,0,$B$4*AE26*$A$4)</x:f>
        <x:v>0</x:v>
      </x:c>
      <x:c r="AF29" s="45" t="n">
        <x:f t="shared" si="3">IF(MOD(AF$25,$C$4)=0,0,$B$4*AF26*$A$4)</x:f>
        <x:v>40</x:v>
      </x:c>
      <x:c r="AG29" s="45" t="n">
        <x:f t="shared" si="3">IF(MOD(AG$25,$C$4)=0,0,$B$4*AG26*$A$4)</x:f>
        <x:v>40</x:v>
      </x:c>
      <x:c r="AH29" s="45" t="n">
        <x:f t="shared" si="3">IF(MOD(AH$25,$C$4)=0,0,$B$4*AH26*$A$4)</x:f>
        <x:v>40</x:v>
      </x:c>
      <x:c r="AI29" s="45" t="n">
        <x:f t="shared" si="3">IF(MOD(AI$25,$C$4)=0,0,$B$4*AI26*$A$4)</x:f>
        <x:v>40</x:v>
      </x:c>
      <x:c r="AJ29" s="48" t="n">
        <x:f t="shared" si="3">IF(MOD(AJ$25,$C$4)=0,0,$B$4*AJ26*$A$4)</x:f>
        <x:v>40</x:v>
      </x:c>
      <x:c r="AK29" s="45" t="n">
        <x:f t="shared" si="3">IF(MOD(AK$25,$C$4)=0,0,$B$4*AK26*$A$4)</x:f>
        <x:v>40</x:v>
      </x:c>
      <x:c r="AL29" s="45" t="n">
        <x:f t="shared" si="3">IF(MOD(AL$25,$C$4)=0,0,$B$4*AL26*$A$4)</x:f>
        <x:v>40</x:v>
      </x:c>
      <x:c r="AM29" s="45" t="n">
        <x:f t="shared" si="3">IF(MOD(AM$25,$C$4)=0,0,$B$4*AM26*$A$4)</x:f>
        <x:v>40</x:v>
      </x:c>
      <x:c r="AN29" s="45" t="n">
        <x:f t="shared" si="3">IF(MOD(AN$25,$C$4)=0,0,$B$4*AN26*$A$4)</x:f>
        <x:v>40</x:v>
      </x:c>
      <x:c r="AO29" s="51" t="n">
        <x:f t="shared" si="3">IF(MOD(AO$25,$C$4)=0,0,$B$4*AO26*$A$4)</x:f>
        <x:v>0</x:v>
      </x:c>
    </x:row>
    <x:row r="30">
      <x:c r="A30" s="42" t="str">
        <x:v>최종보스 수</x:v>
      </x:c>
      <x:c r="B30" s="45" t="n">
        <x:f t="shared" ref="B30:AO30" si="4">IF(MOD(B$25,$C$4)=0,1,0)</x:f>
        <x:v>0</x:v>
      </x:c>
      <x:c r="C30" s="45" t="n">
        <x:f t="shared" si="4">IF(MOD(C$25,$C$4)=0,1,0)</x:f>
        <x:v>0</x:v>
      </x:c>
      <x:c r="D30" s="45" t="n">
        <x:f t="shared" si="4">IF(MOD(D$25,$C$4)=0,1,0)</x:f>
        <x:v>0</x:v>
      </x:c>
      <x:c r="E30" s="45" t="n">
        <x:f t="shared" si="4">IF(MOD(E$25,$C$4)=0,1,0)</x:f>
        <x:v>0</x:v>
      </x:c>
      <x:c r="F30" s="48" t="n">
        <x:f t="shared" si="4">IF(MOD(F$25,$C$4)=0,1,0)</x:f>
        <x:v>0</x:v>
      </x:c>
      <x:c r="G30" s="45" t="n">
        <x:f t="shared" si="4">IF(MOD(G$25,$C$4)=0,1,0)</x:f>
        <x:v>0</x:v>
      </x:c>
      <x:c r="H30" s="45" t="n">
        <x:f t="shared" si="4">IF(MOD(H$25,$C$4)=0,1,0)</x:f>
        <x:v>0</x:v>
      </x:c>
      <x:c r="I30" s="45" t="n">
        <x:f t="shared" si="4">IF(MOD(I$25,$C$4)=0,1,0)</x:f>
        <x:v>0</x:v>
      </x:c>
      <x:c r="J30" s="45" t="n">
        <x:f t="shared" si="4">IF(MOD(J$25,$C$4)=0,1,0)</x:f>
        <x:v>0</x:v>
      </x:c>
      <x:c r="K30" s="51" t="n">
        <x:f t="shared" si="4">IF(MOD(K$25,$C$4)=0,1,0)</x:f>
        <x:v>1</x:v>
      </x:c>
      <x:c r="L30" s="45" t="n">
        <x:f t="shared" si="4">IF(MOD(L$25,$C$4)=0,1,0)</x:f>
        <x:v>0</x:v>
      </x:c>
      <x:c r="M30" s="45" t="n">
        <x:f t="shared" si="4">IF(MOD(M$25,$C$4)=0,1,0)</x:f>
        <x:v>0</x:v>
      </x:c>
      <x:c r="N30" s="45" t="n">
        <x:f t="shared" si="4">IF(MOD(N$25,$C$4)=0,1,0)</x:f>
        <x:v>0</x:v>
      </x:c>
      <x:c r="O30" s="45" t="n">
        <x:f t="shared" si="4">IF(MOD(O$25,$C$4)=0,1,0)</x:f>
        <x:v>0</x:v>
      </x:c>
      <x:c r="P30" s="48" t="n">
        <x:f t="shared" si="4">IF(MOD(P$25,$C$4)=0,1,0)</x:f>
        <x:v>0</x:v>
      </x:c>
      <x:c r="Q30" s="45" t="n">
        <x:f t="shared" si="4">IF(MOD(Q$25,$C$4)=0,1,0)</x:f>
        <x:v>0</x:v>
      </x:c>
      <x:c r="R30" s="45" t="n">
        <x:f t="shared" si="4">IF(MOD(R$25,$C$4)=0,1,0)</x:f>
        <x:v>0</x:v>
      </x:c>
      <x:c r="S30" s="45" t="n">
        <x:f t="shared" si="4">IF(MOD(S$25,$C$4)=0,1,0)</x:f>
        <x:v>0</x:v>
      </x:c>
      <x:c r="T30" s="45" t="n">
        <x:f t="shared" si="4">IF(MOD(T$25,$C$4)=0,1,0)</x:f>
        <x:v>0</x:v>
      </x:c>
      <x:c r="U30" s="51" t="n">
        <x:f t="shared" si="4">IF(MOD(U$25,$C$4)=0,1,0)</x:f>
        <x:v>1</x:v>
      </x:c>
      <x:c r="V30" s="45" t="n">
        <x:f t="shared" si="4">IF(MOD(V$25,$C$4)=0,1,0)</x:f>
        <x:v>0</x:v>
      </x:c>
      <x:c r="W30" s="45" t="n">
        <x:f t="shared" si="4">IF(MOD(W$25,$C$4)=0,1,0)</x:f>
        <x:v>0</x:v>
      </x:c>
      <x:c r="X30" s="45" t="n">
        <x:f t="shared" si="4">IF(MOD(X$25,$C$4)=0,1,0)</x:f>
        <x:v>0</x:v>
      </x:c>
      <x:c r="Y30" s="45" t="n">
        <x:f t="shared" si="4">IF(MOD(Y$25,$C$4)=0,1,0)</x:f>
        <x:v>0</x:v>
      </x:c>
      <x:c r="Z30" s="48" t="n">
        <x:f t="shared" si="4">IF(MOD(Z$25,$C$4)=0,1,0)</x:f>
        <x:v>0</x:v>
      </x:c>
      <x:c r="AA30" s="45" t="n">
        <x:f t="shared" si="4">IF(MOD(AA$25,$C$4)=0,1,0)</x:f>
        <x:v>0</x:v>
      </x:c>
      <x:c r="AB30" s="45" t="n">
        <x:f t="shared" si="4">IF(MOD(AB$25,$C$4)=0,1,0)</x:f>
        <x:v>0</x:v>
      </x:c>
      <x:c r="AC30" s="45" t="n">
        <x:f t="shared" si="4">IF(MOD(AC$25,$C$4)=0,1,0)</x:f>
        <x:v>0</x:v>
      </x:c>
      <x:c r="AD30" s="45" t="n">
        <x:f t="shared" si="4">IF(MOD(AD$25,$C$4)=0,1,0)</x:f>
        <x:v>0</x:v>
      </x:c>
      <x:c r="AE30" s="51" t="n">
        <x:f t="shared" si="4">IF(MOD(AE$25,$C$4)=0,1,0)</x:f>
        <x:v>1</x:v>
      </x:c>
      <x:c r="AF30" s="45" t="n">
        <x:f t="shared" si="4">IF(MOD(AF$25,$C$4)=0,1,0)</x:f>
        <x:v>0</x:v>
      </x:c>
      <x:c r="AG30" s="45" t="n">
        <x:f t="shared" si="4">IF(MOD(AG$25,$C$4)=0,1,0)</x:f>
        <x:v>0</x:v>
      </x:c>
      <x:c r="AH30" s="45" t="n">
        <x:f t="shared" si="4">IF(MOD(AH$25,$C$4)=0,1,0)</x:f>
        <x:v>0</x:v>
      </x:c>
      <x:c r="AI30" s="45" t="n">
        <x:f t="shared" si="4">IF(MOD(AI$25,$C$4)=0,1,0)</x:f>
        <x:v>0</x:v>
      </x:c>
      <x:c r="AJ30" s="48" t="n">
        <x:f t="shared" si="4">IF(MOD(AJ$25,$C$4)=0,1,0)</x:f>
        <x:v>0</x:v>
      </x:c>
      <x:c r="AK30" s="45" t="n">
        <x:f t="shared" si="4">IF(MOD(AK$25,$C$4)=0,1,0)</x:f>
        <x:v>0</x:v>
      </x:c>
      <x:c r="AL30" s="45" t="n">
        <x:f t="shared" si="4">IF(MOD(AL$25,$C$4)=0,1,0)</x:f>
        <x:v>0</x:v>
      </x:c>
      <x:c r="AM30" s="45" t="n">
        <x:f t="shared" si="4">IF(MOD(AM$25,$C$4)=0,1,0)</x:f>
        <x:v>0</x:v>
      </x:c>
      <x:c r="AN30" s="45" t="n">
        <x:f t="shared" si="4">IF(MOD(AN$25,$C$4)=0,1,0)</x:f>
        <x:v>0</x:v>
      </x:c>
      <x:c r="AO30" s="51" t="n">
        <x:f t="shared" si="4">IF(MOD(AO$25,$C$4)=0,1,0)</x:f>
        <x:v>1</x:v>
      </x:c>
    </x:row>
    <x:row r="31">
      <x:c r="A31" s="42" t="str">
        <x:v>중간보스 수(보상 기준)</x:v>
      </x:c>
      <x:c r="B31" s="45" t="n">
        <x:f t="shared" ref="B31:AO31" si="5">IF(MOD(B$25-1,$C$4)=$J$4-1,1,0)</x:f>
        <x:v>0</x:v>
      </x:c>
      <x:c r="C31" s="45" t="n">
        <x:f t="shared" si="5">IF(MOD(C$25-1,$C$4)=$J$4-1,1,0)</x:f>
        <x:v>0</x:v>
      </x:c>
      <x:c r="D31" s="45" t="n">
        <x:f t="shared" si="5">IF(MOD(D$25-1,$C$4)=$J$4-1,1,0)</x:f>
        <x:v>0</x:v>
      </x:c>
      <x:c r="E31" s="45" t="n">
        <x:f t="shared" si="5">IF(MOD(E$25-1,$C$4)=$J$4-1,1,0)</x:f>
        <x:v>0</x:v>
      </x:c>
      <x:c r="F31" s="48" t="n">
        <x:f t="shared" si="5">IF(MOD(F$25-1,$C$4)=$J$4-1,1,0)</x:f>
        <x:v>1</x:v>
      </x:c>
      <x:c r="G31" s="45" t="n">
        <x:f t="shared" si="5">IF(MOD(G$25-1,$C$4)=$J$4-1,1,0)</x:f>
        <x:v>0</x:v>
      </x:c>
      <x:c r="H31" s="45" t="n">
        <x:f t="shared" si="5">IF(MOD(H$25-1,$C$4)=$J$4-1,1,0)</x:f>
        <x:v>0</x:v>
      </x:c>
      <x:c r="I31" s="45" t="n">
        <x:f t="shared" si="5">IF(MOD(I$25-1,$C$4)=$J$4-1,1,0)</x:f>
        <x:v>0</x:v>
      </x:c>
      <x:c r="J31" s="45" t="n">
        <x:f t="shared" si="5">IF(MOD(J$25-1,$C$4)=$J$4-1,1,0)</x:f>
        <x:v>0</x:v>
      </x:c>
      <x:c r="K31" s="51" t="n">
        <x:f t="shared" si="5">IF(MOD(K$25-1,$C$4)=$J$4-1,1,0)</x:f>
        <x:v>0</x:v>
      </x:c>
      <x:c r="L31" s="45" t="n">
        <x:f t="shared" si="5">IF(MOD(L$25-1,$C$4)=$J$4-1,1,0)</x:f>
        <x:v>0</x:v>
      </x:c>
      <x:c r="M31" s="45" t="n">
        <x:f t="shared" si="5">IF(MOD(M$25-1,$C$4)=$J$4-1,1,0)</x:f>
        <x:v>0</x:v>
      </x:c>
      <x:c r="N31" s="45" t="n">
        <x:f t="shared" si="5">IF(MOD(N$25-1,$C$4)=$J$4-1,1,0)</x:f>
        <x:v>0</x:v>
      </x:c>
      <x:c r="O31" s="45" t="n">
        <x:f t="shared" si="5">IF(MOD(O$25-1,$C$4)=$J$4-1,1,0)</x:f>
        <x:v>0</x:v>
      </x:c>
      <x:c r="P31" s="48" t="n">
        <x:f t="shared" si="5">IF(MOD(P$25-1,$C$4)=$J$4-1,1,0)</x:f>
        <x:v>1</x:v>
      </x:c>
      <x:c r="Q31" s="45" t="n">
        <x:f t="shared" si="5">IF(MOD(Q$25-1,$C$4)=$J$4-1,1,0)</x:f>
        <x:v>0</x:v>
      </x:c>
      <x:c r="R31" s="45" t="n">
        <x:f t="shared" si="5">IF(MOD(R$25-1,$C$4)=$J$4-1,1,0)</x:f>
        <x:v>0</x:v>
      </x:c>
      <x:c r="S31" s="45" t="n">
        <x:f t="shared" si="5">IF(MOD(S$25-1,$C$4)=$J$4-1,1,0)</x:f>
        <x:v>0</x:v>
      </x:c>
      <x:c r="T31" s="45" t="n">
        <x:f t="shared" si="5">IF(MOD(T$25-1,$C$4)=$J$4-1,1,0)</x:f>
        <x:v>0</x:v>
      </x:c>
      <x:c r="U31" s="51" t="n">
        <x:f t="shared" si="5">IF(MOD(U$25-1,$C$4)=$J$4-1,1,0)</x:f>
        <x:v>0</x:v>
      </x:c>
      <x:c r="V31" s="45" t="n">
        <x:f t="shared" si="5">IF(MOD(V$25-1,$C$4)=$J$4-1,1,0)</x:f>
        <x:v>0</x:v>
      </x:c>
      <x:c r="W31" s="45" t="n">
        <x:f t="shared" si="5">IF(MOD(W$25-1,$C$4)=$J$4-1,1,0)</x:f>
        <x:v>0</x:v>
      </x:c>
      <x:c r="X31" s="45" t="n">
        <x:f t="shared" si="5">IF(MOD(X$25-1,$C$4)=$J$4-1,1,0)</x:f>
        <x:v>0</x:v>
      </x:c>
      <x:c r="Y31" s="45" t="n">
        <x:f t="shared" si="5">IF(MOD(Y$25-1,$C$4)=$J$4-1,1,0)</x:f>
        <x:v>0</x:v>
      </x:c>
      <x:c r="Z31" s="48" t="n">
        <x:f t="shared" si="5">IF(MOD(Z$25-1,$C$4)=$J$4-1,1,0)</x:f>
        <x:v>1</x:v>
      </x:c>
      <x:c r="AA31" s="45" t="n">
        <x:f t="shared" si="5">IF(MOD(AA$25-1,$C$4)=$J$4-1,1,0)</x:f>
        <x:v>0</x:v>
      </x:c>
      <x:c r="AB31" s="45" t="n">
        <x:f t="shared" si="5">IF(MOD(AB$25-1,$C$4)=$J$4-1,1,0)</x:f>
        <x:v>0</x:v>
      </x:c>
      <x:c r="AC31" s="45" t="n">
        <x:f t="shared" si="5">IF(MOD(AC$25-1,$C$4)=$J$4-1,1,0)</x:f>
        <x:v>0</x:v>
      </x:c>
      <x:c r="AD31" s="45" t="n">
        <x:f t="shared" si="5">IF(MOD(AD$25-1,$C$4)=$J$4-1,1,0)</x:f>
        <x:v>0</x:v>
      </x:c>
      <x:c r="AE31" s="51" t="n">
        <x:f t="shared" si="5">IF(MOD(AE$25-1,$C$4)=$J$4-1,1,0)</x:f>
        <x:v>0</x:v>
      </x:c>
      <x:c r="AF31" s="45" t="n">
        <x:f t="shared" si="5">IF(MOD(AF$25-1,$C$4)=$J$4-1,1,0)</x:f>
        <x:v>0</x:v>
      </x:c>
      <x:c r="AG31" s="45" t="n">
        <x:f t="shared" si="5">IF(MOD(AG$25-1,$C$4)=$J$4-1,1,0)</x:f>
        <x:v>0</x:v>
      </x:c>
      <x:c r="AH31" s="45" t="n">
        <x:f t="shared" si="5">IF(MOD(AH$25-1,$C$4)=$J$4-1,1,0)</x:f>
        <x:v>0</x:v>
      </x:c>
      <x:c r="AI31" s="45" t="n">
        <x:f t="shared" si="5">IF(MOD(AI$25-1,$C$4)=$J$4-1,1,0)</x:f>
        <x:v>0</x:v>
      </x:c>
      <x:c r="AJ31" s="48" t="n">
        <x:f t="shared" si="5">IF(MOD(AJ$25-1,$C$4)=$J$4-1,1,0)</x:f>
        <x:v>1</x:v>
      </x:c>
      <x:c r="AK31" s="45" t="n">
        <x:f t="shared" si="5">IF(MOD(AK$25-1,$C$4)=$J$4-1,1,0)</x:f>
        <x:v>0</x:v>
      </x:c>
      <x:c r="AL31" s="45" t="n">
        <x:f t="shared" si="5">IF(MOD(AL$25-1,$C$4)=$J$4-1,1,0)</x:f>
        <x:v>0</x:v>
      </x:c>
      <x:c r="AM31" s="45" t="n">
        <x:f t="shared" si="5">IF(MOD(AM$25-1,$C$4)=$J$4-1,1,0)</x:f>
        <x:v>0</x:v>
      </x:c>
      <x:c r="AN31" s="45" t="n">
        <x:f t="shared" si="5">IF(MOD(AN$25-1,$C$4)=$J$4-1,1,0)</x:f>
        <x:v>0</x:v>
      </x:c>
      <x:c r="AO31" s="51" t="n">
        <x:f t="shared" si="5">IF(MOD(AO$25-1,$C$4)=$J$4-1,1,0)</x:f>
        <x:v>0</x:v>
      </x:c>
    </x:row>
    <x:row r="32">
      <x:c r="A32" s="42" t="str">
        <x:v>총 몬스터 수</x:v>
      </x:c>
      <x:c r="B32" s="45" t="n">
        <x:f t="shared" ref="B32:AO32" si="6">SUM(B29:B31)</x:f>
        <x:v>10</x:v>
      </x:c>
      <x:c r="C32" s="45" t="n">
        <x:f t="shared" si="6">SUM(C29:C31)</x:f>
        <x:v>10</x:v>
      </x:c>
      <x:c r="D32" s="45" t="n">
        <x:f t="shared" si="6">SUM(D29:D31)</x:f>
        <x:v>10</x:v>
      </x:c>
      <x:c r="E32" s="45" t="n">
        <x:f t="shared" si="6">SUM(E29:E31)</x:f>
        <x:v>10</x:v>
      </x:c>
      <x:c r="F32" s="48" t="n">
        <x:f t="shared" si="6">SUM(F29:F31)</x:f>
        <x:v>11</x:v>
      </x:c>
      <x:c r="G32" s="45" t="n">
        <x:f t="shared" si="6">SUM(G29:G31)</x:f>
        <x:v>10</x:v>
      </x:c>
      <x:c r="H32" s="45" t="n">
        <x:f t="shared" si="6">SUM(H29:H31)</x:f>
        <x:v>10</x:v>
      </x:c>
      <x:c r="I32" s="45" t="n">
        <x:f t="shared" si="6">SUM(I29:I31)</x:f>
        <x:v>10</x:v>
      </x:c>
      <x:c r="J32" s="45" t="n">
        <x:f t="shared" si="6">SUM(J29:J31)</x:f>
        <x:v>10</x:v>
      </x:c>
      <x:c r="K32" s="51" t="n">
        <x:f t="shared" si="6">SUM(K29:K31)</x:f>
        <x:v>1</x:v>
      </x:c>
      <x:c r="L32" s="45" t="n">
        <x:f t="shared" si="6">SUM(L29:L31)</x:f>
        <x:v>20</x:v>
      </x:c>
      <x:c r="M32" s="45" t="n">
        <x:f t="shared" si="6">SUM(M29:M31)</x:f>
        <x:v>20</x:v>
      </x:c>
      <x:c r="N32" s="45" t="n">
        <x:f t="shared" si="6">SUM(N29:N31)</x:f>
        <x:v>20</x:v>
      </x:c>
      <x:c r="O32" s="45" t="n">
        <x:f t="shared" si="6">SUM(O29:O31)</x:f>
        <x:v>20</x:v>
      </x:c>
      <x:c r="P32" s="48" t="n">
        <x:f t="shared" si="6">SUM(P29:P31)</x:f>
        <x:v>21</x:v>
      </x:c>
      <x:c r="Q32" s="45" t="n">
        <x:f t="shared" si="6">SUM(Q29:Q31)</x:f>
        <x:v>20</x:v>
      </x:c>
      <x:c r="R32" s="45" t="n">
        <x:f t="shared" si="6">SUM(R29:R31)</x:f>
        <x:v>20</x:v>
      </x:c>
      <x:c r="S32" s="45" t="n">
        <x:f t="shared" si="6">SUM(S29:S31)</x:f>
        <x:v>20</x:v>
      </x:c>
      <x:c r="T32" s="45" t="n">
        <x:f t="shared" si="6">SUM(T29:T31)</x:f>
        <x:v>20</x:v>
      </x:c>
      <x:c r="U32" s="51" t="n">
        <x:f t="shared" si="6">SUM(U29:U31)</x:f>
        <x:v>1</x:v>
      </x:c>
      <x:c r="V32" s="45" t="n">
        <x:f t="shared" si="6">SUM(V29:V31)</x:f>
        <x:v>30</x:v>
      </x:c>
      <x:c r="W32" s="45" t="n">
        <x:f t="shared" si="6">SUM(W29:W31)</x:f>
        <x:v>30</x:v>
      </x:c>
      <x:c r="X32" s="45" t="n">
        <x:f t="shared" si="6">SUM(X29:X31)</x:f>
        <x:v>30</x:v>
      </x:c>
      <x:c r="Y32" s="45" t="n">
        <x:f t="shared" si="6">SUM(Y29:Y31)</x:f>
        <x:v>30</x:v>
      </x:c>
      <x:c r="Z32" s="48" t="n">
        <x:f t="shared" si="6">SUM(Z29:Z31)</x:f>
        <x:v>31</x:v>
      </x:c>
      <x:c r="AA32" s="45" t="n">
        <x:f t="shared" si="6">SUM(AA29:AA31)</x:f>
        <x:v>30</x:v>
      </x:c>
      <x:c r="AB32" s="45" t="n">
        <x:f t="shared" si="6">SUM(AB29:AB31)</x:f>
        <x:v>30</x:v>
      </x:c>
      <x:c r="AC32" s="45" t="n">
        <x:f t="shared" si="6">SUM(AC29:AC31)</x:f>
        <x:v>30</x:v>
      </x:c>
      <x:c r="AD32" s="45" t="n">
        <x:f t="shared" si="6">SUM(AD29:AD31)</x:f>
        <x:v>30</x:v>
      </x:c>
      <x:c r="AE32" s="51" t="n">
        <x:f t="shared" si="6">SUM(AE29:AE31)</x:f>
        <x:v>1</x:v>
      </x:c>
      <x:c r="AF32" s="45" t="n">
        <x:f t="shared" si="6">SUM(AF29:AF31)</x:f>
        <x:v>40</x:v>
      </x:c>
      <x:c r="AG32" s="45" t="n">
        <x:f t="shared" si="6">SUM(AG29:AG31)</x:f>
        <x:v>40</x:v>
      </x:c>
      <x:c r="AH32" s="45" t="n">
        <x:f t="shared" si="6">SUM(AH29:AH31)</x:f>
        <x:v>40</x:v>
      </x:c>
      <x:c r="AI32" s="45" t="n">
        <x:f t="shared" si="6">SUM(AI29:AI31)</x:f>
        <x:v>40</x:v>
      </x:c>
      <x:c r="AJ32" s="48" t="n">
        <x:f t="shared" si="6">SUM(AJ29:AJ31)</x:f>
        <x:v>41</x:v>
      </x:c>
      <x:c r="AK32" s="45" t="n">
        <x:f t="shared" si="6">SUM(AK29:AK31)</x:f>
        <x:v>40</x:v>
      </x:c>
      <x:c r="AL32" s="45" t="n">
        <x:f t="shared" si="6">SUM(AL29:AL31)</x:f>
        <x:v>40</x:v>
      </x:c>
      <x:c r="AM32" s="45" t="n">
        <x:f t="shared" si="6">SUM(AM29:AM31)</x:f>
        <x:v>40</x:v>
      </x:c>
      <x:c r="AN32" s="45" t="n">
        <x:f t="shared" si="6">SUM(AN29:AN31)</x:f>
        <x:v>40</x:v>
      </x:c>
      <x:c r="AO32" s="51" t="n">
        <x:f t="shared" si="6">SUM(AO29:AO31)</x:f>
        <x:v>1</x:v>
      </x:c>
    </x:row>
    <x:row r="33">
      <x:c r="A33" s="42" t="str">
        <x:v>일반 몬스터 골드</x:v>
      </x:c>
      <x:c r="B33" s="45" t="n">
        <x:f t="shared" ref="B33:AO33" si="7">B29*B$25*$D$4</x:f>
        <x:v>100</x:v>
      </x:c>
      <x:c r="C33" s="45" t="n">
        <x:f t="shared" si="7">C29*C$25*$D$4</x:f>
        <x:v>200</x:v>
      </x:c>
      <x:c r="D33" s="45" t="n">
        <x:f t="shared" si="7">D29*D$25*$D$4</x:f>
        <x:v>300</x:v>
      </x:c>
      <x:c r="E33" s="45" t="n">
        <x:f t="shared" si="7">E29*E$25*$D$4</x:f>
        <x:v>400</x:v>
      </x:c>
      <x:c r="F33" s="48" t="n">
        <x:f t="shared" si="7">F29*F$25*$D$4</x:f>
        <x:v>500</x:v>
      </x:c>
      <x:c r="G33" s="45" t="n">
        <x:f t="shared" si="7">G29*G$25*$D$4</x:f>
        <x:v>600</x:v>
      </x:c>
      <x:c r="H33" s="45" t="n">
        <x:f t="shared" si="7">H29*H$25*$D$4</x:f>
        <x:v>700</x:v>
      </x:c>
      <x:c r="I33" s="45" t="n">
        <x:f t="shared" si="7">I29*I$25*$D$4</x:f>
        <x:v>800</x:v>
      </x:c>
      <x:c r="J33" s="45" t="n">
        <x:f t="shared" si="7">J29*J$25*$D$4</x:f>
        <x:v>900</x:v>
      </x:c>
      <x:c r="K33" s="51" t="n">
        <x:f t="shared" si="7">K29*K$25*$D$4</x:f>
        <x:v>0</x:v>
      </x:c>
      <x:c r="L33" s="45" t="n">
        <x:f t="shared" si="7">L29*L$25*$D$4</x:f>
        <x:v>2200</x:v>
      </x:c>
      <x:c r="M33" s="45" t="n">
        <x:f t="shared" si="7">M29*M$25*$D$4</x:f>
        <x:v>2400</x:v>
      </x:c>
      <x:c r="N33" s="45" t="n">
        <x:f t="shared" si="7">N29*N$25*$D$4</x:f>
        <x:v>2600</x:v>
      </x:c>
      <x:c r="O33" s="45" t="n">
        <x:f t="shared" si="7">O29*O$25*$D$4</x:f>
        <x:v>2800</x:v>
      </x:c>
      <x:c r="P33" s="48" t="n">
        <x:f t="shared" si="7">P29*P$25*$D$4</x:f>
        <x:v>3000</x:v>
      </x:c>
      <x:c r="Q33" s="45" t="n">
        <x:f t="shared" si="7">Q29*Q$25*$D$4</x:f>
        <x:v>3200</x:v>
      </x:c>
      <x:c r="R33" s="45" t="n">
        <x:f t="shared" si="7">R29*R$25*$D$4</x:f>
        <x:v>3400</x:v>
      </x:c>
      <x:c r="S33" s="45" t="n">
        <x:f t="shared" si="7">S29*S$25*$D$4</x:f>
        <x:v>3600</x:v>
      </x:c>
      <x:c r="T33" s="45" t="n">
        <x:f t="shared" si="7">T29*T$25*$D$4</x:f>
        <x:v>3800</x:v>
      </x:c>
      <x:c r="U33" s="51" t="n">
        <x:f t="shared" si="7">U29*U$25*$D$4</x:f>
        <x:v>0</x:v>
      </x:c>
      <x:c r="V33" s="45" t="n">
        <x:f t="shared" si="7">V29*V$25*$D$4</x:f>
        <x:v>6300</x:v>
      </x:c>
      <x:c r="W33" s="45" t="n">
        <x:f t="shared" si="7">W29*W$25*$D$4</x:f>
        <x:v>6600</x:v>
      </x:c>
      <x:c r="X33" s="45" t="n">
        <x:f t="shared" si="7">X29*X$25*$D$4</x:f>
        <x:v>6900</x:v>
      </x:c>
      <x:c r="Y33" s="45" t="n">
        <x:f t="shared" si="7">Y29*Y$25*$D$4</x:f>
        <x:v>7200</x:v>
      </x:c>
      <x:c r="Z33" s="48" t="n">
        <x:f t="shared" si="7">Z29*Z$25*$D$4</x:f>
        <x:v>7500</x:v>
      </x:c>
      <x:c r="AA33" s="45" t="n">
        <x:f t="shared" si="7">AA29*AA$25*$D$4</x:f>
        <x:v>7800</x:v>
      </x:c>
      <x:c r="AB33" s="45" t="n">
        <x:f t="shared" si="7">AB29*AB$25*$D$4</x:f>
        <x:v>8100</x:v>
      </x:c>
      <x:c r="AC33" s="45" t="n">
        <x:f t="shared" si="7">AC29*AC$25*$D$4</x:f>
        <x:v>8400</x:v>
      </x:c>
      <x:c r="AD33" s="45" t="n">
        <x:f t="shared" si="7">AD29*AD$25*$D$4</x:f>
        <x:v>8700</x:v>
      </x:c>
      <x:c r="AE33" s="51" t="n">
        <x:f t="shared" si="7">AE29*AE$25*$D$4</x:f>
        <x:v>0</x:v>
      </x:c>
      <x:c r="AF33" s="45" t="n">
        <x:f t="shared" si="7">AF29*AF$25*$D$4</x:f>
        <x:v>12400</x:v>
      </x:c>
      <x:c r="AG33" s="45" t="n">
        <x:f t="shared" si="7">AG29*AG$25*$D$4</x:f>
        <x:v>12800</x:v>
      </x:c>
      <x:c r="AH33" s="45" t="n">
        <x:f t="shared" si="7">AH29*AH$25*$D$4</x:f>
        <x:v>13200</x:v>
      </x:c>
      <x:c r="AI33" s="45" t="n">
        <x:f t="shared" si="7">AI29*AI$25*$D$4</x:f>
        <x:v>13600</x:v>
      </x:c>
      <x:c r="AJ33" s="48" t="n">
        <x:f t="shared" si="7">AJ29*AJ$25*$D$4</x:f>
        <x:v>14000</x:v>
      </x:c>
      <x:c r="AK33" s="45" t="n">
        <x:f t="shared" si="7">AK29*AK$25*$D$4</x:f>
        <x:v>14400</x:v>
      </x:c>
      <x:c r="AL33" s="45" t="n">
        <x:f t="shared" si="7">AL29*AL$25*$D$4</x:f>
        <x:v>14800</x:v>
      </x:c>
      <x:c r="AM33" s="45" t="n">
        <x:f t="shared" si="7">AM29*AM$25*$D$4</x:f>
        <x:v>15200</x:v>
      </x:c>
      <x:c r="AN33" s="45" t="n">
        <x:f t="shared" si="7">AN29*AN$25*$D$4</x:f>
        <x:v>15600</x:v>
      </x:c>
      <x:c r="AO33" s="51" t="n">
        <x:f t="shared" si="7">AO29*AO$25*$D$4</x:f>
        <x:v>0</x:v>
      </x:c>
    </x:row>
    <x:row r="34">
      <x:c r="A34" s="42" t="str">
        <x:v>최종보스 골드</x:v>
      </x:c>
      <x:c r="B34" s="45" t="n">
        <x:f t="shared" ref="B34:AO34" si="8">B30*B$25*$G$4*B27</x:f>
        <x:v>0</x:v>
      </x:c>
      <x:c r="C34" s="45" t="n">
        <x:f t="shared" si="8">C30*C$25*$G$4*C27</x:f>
        <x:v>0</x:v>
      </x:c>
      <x:c r="D34" s="45" t="n">
        <x:f t="shared" si="8">D30*D$25*$G$4*D27</x:f>
        <x:v>0</x:v>
      </x:c>
      <x:c r="E34" s="45" t="n">
        <x:f t="shared" si="8">E30*E$25*$G$4*E27</x:f>
        <x:v>0</x:v>
      </x:c>
      <x:c r="F34" s="48" t="n">
        <x:f t="shared" si="8">F30*F$25*$G$4*F27</x:f>
        <x:v>0</x:v>
      </x:c>
      <x:c r="G34" s="45" t="n">
        <x:f t="shared" si="8">G30*G$25*$G$4*G27</x:f>
        <x:v>0</x:v>
      </x:c>
      <x:c r="H34" s="45" t="n">
        <x:f t="shared" si="8">H30*H$25*$G$4*H27</x:f>
        <x:v>0</x:v>
      </x:c>
      <x:c r="I34" s="45" t="n">
        <x:f t="shared" si="8">I30*I$25*$G$4*I27</x:f>
        <x:v>0</x:v>
      </x:c>
      <x:c r="J34" s="45" t="n">
        <x:f t="shared" si="8">J30*J$25*$G$4*J27</x:f>
        <x:v>0</x:v>
      </x:c>
      <x:c r="K34" s="51" t="n">
        <x:f t="shared" si="8">K30*K$25*$G$4*K27</x:f>
        <x:v>1000</x:v>
      </x:c>
      <x:c r="L34" s="45" t="n">
        <x:f t="shared" si="8">L30*L$25*$G$4*L27</x:f>
        <x:v>0</x:v>
      </x:c>
      <x:c r="M34" s="45" t="n">
        <x:f t="shared" si="8">M30*M$25*$G$4*M27</x:f>
        <x:v>0</x:v>
      </x:c>
      <x:c r="N34" s="45" t="n">
        <x:f t="shared" si="8">N30*N$25*$G$4*N27</x:f>
        <x:v>0</x:v>
      </x:c>
      <x:c r="O34" s="45" t="n">
        <x:f t="shared" si="8">O30*O$25*$G$4*O27</x:f>
        <x:v>0</x:v>
      </x:c>
      <x:c r="P34" s="48" t="n">
        <x:f t="shared" si="8">P30*P$25*$G$4*P27</x:f>
        <x:v>0</x:v>
      </x:c>
      <x:c r="Q34" s="45" t="n">
        <x:f t="shared" si="8">Q30*Q$25*$G$4*Q27</x:f>
        <x:v>0</x:v>
      </x:c>
      <x:c r="R34" s="45" t="n">
        <x:f t="shared" si="8">R30*R$25*$G$4*R27</x:f>
        <x:v>0</x:v>
      </x:c>
      <x:c r="S34" s="45" t="n">
        <x:f t="shared" si="8">S30*S$25*$G$4*S27</x:f>
        <x:v>0</x:v>
      </x:c>
      <x:c r="T34" s="45" t="n">
        <x:f t="shared" si="8">T30*T$25*$G$4*T27</x:f>
        <x:v>0</x:v>
      </x:c>
      <x:c r="U34" s="51" t="n">
        <x:f t="shared" si="8">U30*U$25*$G$4*U27</x:f>
        <x:v>4000</x:v>
      </x:c>
      <x:c r="V34" s="45" t="n">
        <x:f t="shared" si="8">V30*V$25*$G$4*V27</x:f>
        <x:v>0</x:v>
      </x:c>
      <x:c r="W34" s="45" t="n">
        <x:f t="shared" si="8">W30*W$25*$G$4*W27</x:f>
        <x:v>0</x:v>
      </x:c>
      <x:c r="X34" s="45" t="n">
        <x:f t="shared" si="8">X30*X$25*$G$4*X27</x:f>
        <x:v>0</x:v>
      </x:c>
      <x:c r="Y34" s="45" t="n">
        <x:f t="shared" si="8">Y30*Y$25*$G$4*Y27</x:f>
        <x:v>0</x:v>
      </x:c>
      <x:c r="Z34" s="48" t="n">
        <x:f t="shared" si="8">Z30*Z$25*$G$4*Z27</x:f>
        <x:v>0</x:v>
      </x:c>
      <x:c r="AA34" s="45" t="n">
        <x:f t="shared" si="8">AA30*AA$25*$G$4*AA27</x:f>
        <x:v>0</x:v>
      </x:c>
      <x:c r="AB34" s="45" t="n">
        <x:f t="shared" si="8">AB30*AB$25*$G$4*AB27</x:f>
        <x:v>0</x:v>
      </x:c>
      <x:c r="AC34" s="45" t="n">
        <x:f t="shared" si="8">AC30*AC$25*$G$4*AC27</x:f>
        <x:v>0</x:v>
      </x:c>
      <x:c r="AD34" s="45" t="n">
        <x:f t="shared" si="8">AD30*AD$25*$G$4*AD27</x:f>
        <x:v>0</x:v>
      </x:c>
      <x:c r="AE34" s="51" t="n">
        <x:f t="shared" si="8">AE30*AE$25*$G$4*AE27</x:f>
        <x:v>9000</x:v>
      </x:c>
      <x:c r="AF34" s="45" t="n">
        <x:f t="shared" si="8">AF30*AF$25*$G$4*AF27</x:f>
        <x:v>0</x:v>
      </x:c>
      <x:c r="AG34" s="45" t="n">
        <x:f t="shared" si="8">AG30*AG$25*$G$4*AG27</x:f>
        <x:v>0</x:v>
      </x:c>
      <x:c r="AH34" s="45" t="n">
        <x:f t="shared" si="8">AH30*AH$25*$G$4*AH27</x:f>
        <x:v>0</x:v>
      </x:c>
      <x:c r="AI34" s="45" t="n">
        <x:f t="shared" si="8">AI30*AI$25*$G$4*AI27</x:f>
        <x:v>0</x:v>
      </x:c>
      <x:c r="AJ34" s="48" t="n">
        <x:f t="shared" si="8">AJ30*AJ$25*$G$4*AJ27</x:f>
        <x:v>0</x:v>
      </x:c>
      <x:c r="AK34" s="45" t="n">
        <x:f t="shared" si="8">AK30*AK$25*$G$4*AK27</x:f>
        <x:v>0</x:v>
      </x:c>
      <x:c r="AL34" s="45" t="n">
        <x:f t="shared" si="8">AL30*AL$25*$G$4*AL27</x:f>
        <x:v>0</x:v>
      </x:c>
      <x:c r="AM34" s="45" t="n">
        <x:f t="shared" si="8">AM30*AM$25*$G$4*AM27</x:f>
        <x:v>0</x:v>
      </x:c>
      <x:c r="AN34" s="45" t="n">
        <x:f t="shared" si="8">AN30*AN$25*$G$4*AN27</x:f>
        <x:v>0</x:v>
      </x:c>
      <x:c r="AO34" s="51" t="n">
        <x:f t="shared" si="8">AO30*AO$25*$G$4*AO27</x:f>
        <x:v>16000</x:v>
      </x:c>
    </x:row>
    <x:row r="35">
      <x:c r="A35" s="42" t="str">
        <x:v>중간보스 골드</x:v>
      </x:c>
      <x:c r="B35" s="45" t="n">
        <x:f t="shared" ref="B35:AO35" si="9">B31*(INT((B$25-1)/$C$4)*$C$4+$J$4)*$E$4*B27</x:f>
        <x:v>0</x:v>
      </x:c>
      <x:c r="C35" s="45" t="n">
        <x:f t="shared" si="9">C31*(INT((C$25-1)/$C$4)*$C$4+$J$4)*$E$4*C27</x:f>
        <x:v>0</x:v>
      </x:c>
      <x:c r="D35" s="45" t="n">
        <x:f t="shared" si="9">D31*(INT((D$25-1)/$C$4)*$C$4+$J$4)*$E$4*D27</x:f>
        <x:v>0</x:v>
      </x:c>
      <x:c r="E35" s="45" t="n">
        <x:f t="shared" si="9">E31*(INT((E$25-1)/$C$4)*$C$4+$J$4)*$E$4*E27</x:f>
        <x:v>0</x:v>
      </x:c>
      <x:c r="F35" s="48" t="n">
        <x:f t="shared" si="9">F31*(INT((F$25-1)/$C$4)*$C$4+$J$4)*$E$4*F27</x:f>
        <x:v>250</x:v>
      </x:c>
      <x:c r="G35" s="45" t="n">
        <x:f t="shared" si="9">G31*(INT((G$25-1)/$C$4)*$C$4+$J$4)*$E$4*G27</x:f>
        <x:v>0</x:v>
      </x:c>
      <x:c r="H35" s="45" t="n">
        <x:f t="shared" si="9">H31*(INT((H$25-1)/$C$4)*$C$4+$J$4)*$E$4*H27</x:f>
        <x:v>0</x:v>
      </x:c>
      <x:c r="I35" s="45" t="n">
        <x:f t="shared" si="9">I31*(INT((I$25-1)/$C$4)*$C$4+$J$4)*$E$4*I27</x:f>
        <x:v>0</x:v>
      </x:c>
      <x:c r="J35" s="45" t="n">
        <x:f t="shared" si="9">J31*(INT((J$25-1)/$C$4)*$C$4+$J$4)*$E$4*J27</x:f>
        <x:v>0</x:v>
      </x:c>
      <x:c r="K35" s="51" t="n">
        <x:f t="shared" si="9">K31*(INT((K$25-1)/$C$4)*$C$4+$J$4)*$E$4*K27</x:f>
        <x:v>0</x:v>
      </x:c>
      <x:c r="L35" s="45" t="n">
        <x:f t="shared" si="9">L31*(INT((L$25-1)/$C$4)*$C$4+$J$4)*$E$4*L27</x:f>
        <x:v>0</x:v>
      </x:c>
      <x:c r="M35" s="45" t="n">
        <x:f t="shared" si="9">M31*(INT((M$25-1)/$C$4)*$C$4+$J$4)*$E$4*M27</x:f>
        <x:v>0</x:v>
      </x:c>
      <x:c r="N35" s="45" t="n">
        <x:f t="shared" si="9">N31*(INT((N$25-1)/$C$4)*$C$4+$J$4)*$E$4*N27</x:f>
        <x:v>0</x:v>
      </x:c>
      <x:c r="O35" s="45" t="n">
        <x:f t="shared" si="9">O31*(INT((O$25-1)/$C$4)*$C$4+$J$4)*$E$4*O27</x:f>
        <x:v>0</x:v>
      </x:c>
      <x:c r="P35" s="48" t="n">
        <x:f t="shared" si="9">P31*(INT((P$25-1)/$C$4)*$C$4+$J$4)*$E$4*P27</x:f>
        <x:v>1500</x:v>
      </x:c>
      <x:c r="Q35" s="45" t="n">
        <x:f t="shared" si="9">Q31*(INT((Q$25-1)/$C$4)*$C$4+$J$4)*$E$4*Q27</x:f>
        <x:v>0</x:v>
      </x:c>
      <x:c r="R35" s="45" t="n">
        <x:f t="shared" si="9">R31*(INT((R$25-1)/$C$4)*$C$4+$J$4)*$E$4*R27</x:f>
        <x:v>0</x:v>
      </x:c>
      <x:c r="S35" s="45" t="n">
        <x:f t="shared" si="9">S31*(INT((S$25-1)/$C$4)*$C$4+$J$4)*$E$4*S27</x:f>
        <x:v>0</x:v>
      </x:c>
      <x:c r="T35" s="45" t="n">
        <x:f t="shared" si="9">T31*(INT((T$25-1)/$C$4)*$C$4+$J$4)*$E$4*T27</x:f>
        <x:v>0</x:v>
      </x:c>
      <x:c r="U35" s="51" t="n">
        <x:f t="shared" si="9">U31*(INT((U$25-1)/$C$4)*$C$4+$J$4)*$E$4*U27</x:f>
        <x:v>0</x:v>
      </x:c>
      <x:c r="V35" s="45" t="n">
        <x:f t="shared" si="9">V31*(INT((V$25-1)/$C$4)*$C$4+$J$4)*$E$4*V27</x:f>
        <x:v>0</x:v>
      </x:c>
      <x:c r="W35" s="45" t="n">
        <x:f t="shared" si="9">W31*(INT((W$25-1)/$C$4)*$C$4+$J$4)*$E$4*W27</x:f>
        <x:v>0</x:v>
      </x:c>
      <x:c r="X35" s="45" t="n">
        <x:f t="shared" si="9">X31*(INT((X$25-1)/$C$4)*$C$4+$J$4)*$E$4*X27</x:f>
        <x:v>0</x:v>
      </x:c>
      <x:c r="Y35" s="45" t="n">
        <x:f t="shared" si="9">Y31*(INT((Y$25-1)/$C$4)*$C$4+$J$4)*$E$4*Y27</x:f>
        <x:v>0</x:v>
      </x:c>
      <x:c r="Z35" s="48" t="n">
        <x:f t="shared" si="9">Z31*(INT((Z$25-1)/$C$4)*$C$4+$J$4)*$E$4*Z27</x:f>
        <x:v>3750</x:v>
      </x:c>
      <x:c r="AA35" s="45" t="n">
        <x:f t="shared" si="9">AA31*(INT((AA$25-1)/$C$4)*$C$4+$J$4)*$E$4*AA27</x:f>
        <x:v>0</x:v>
      </x:c>
      <x:c r="AB35" s="45" t="n">
        <x:f t="shared" si="9">AB31*(INT((AB$25-1)/$C$4)*$C$4+$J$4)*$E$4*AB27</x:f>
        <x:v>0</x:v>
      </x:c>
      <x:c r="AC35" s="45" t="n">
        <x:f t="shared" si="9">AC31*(INT((AC$25-1)/$C$4)*$C$4+$J$4)*$E$4*AC27</x:f>
        <x:v>0</x:v>
      </x:c>
      <x:c r="AD35" s="45" t="n">
        <x:f t="shared" si="9">AD31*(INT((AD$25-1)/$C$4)*$C$4+$J$4)*$E$4*AD27</x:f>
        <x:v>0</x:v>
      </x:c>
      <x:c r="AE35" s="51" t="n">
        <x:f t="shared" si="9">AE31*(INT((AE$25-1)/$C$4)*$C$4+$J$4)*$E$4*AE27</x:f>
        <x:v>0</x:v>
      </x:c>
      <x:c r="AF35" s="45" t="n">
        <x:f t="shared" si="9">AF31*(INT((AF$25-1)/$C$4)*$C$4+$J$4)*$E$4*AF27</x:f>
        <x:v>0</x:v>
      </x:c>
      <x:c r="AG35" s="45" t="n">
        <x:f t="shared" si="9">AG31*(INT((AG$25-1)/$C$4)*$C$4+$J$4)*$E$4*AG27</x:f>
        <x:v>0</x:v>
      </x:c>
      <x:c r="AH35" s="45" t="n">
        <x:f t="shared" si="9">AH31*(INT((AH$25-1)/$C$4)*$C$4+$J$4)*$E$4*AH27</x:f>
        <x:v>0</x:v>
      </x:c>
      <x:c r="AI35" s="45" t="n">
        <x:f t="shared" si="9">AI31*(INT((AI$25-1)/$C$4)*$C$4+$J$4)*$E$4*AI27</x:f>
        <x:v>0</x:v>
      </x:c>
      <x:c r="AJ35" s="48" t="n">
        <x:f t="shared" si="9">AJ31*(INT((AJ$25-1)/$C$4)*$C$4+$J$4)*$E$4*AJ27</x:f>
        <x:v>7000</x:v>
      </x:c>
      <x:c r="AK35" s="45" t="n">
        <x:f t="shared" si="9">AK31*(INT((AK$25-1)/$C$4)*$C$4+$J$4)*$E$4*AK27</x:f>
        <x:v>0</x:v>
      </x:c>
      <x:c r="AL35" s="45" t="n">
        <x:f t="shared" si="9">AL31*(INT((AL$25-1)/$C$4)*$C$4+$J$4)*$E$4*AL27</x:f>
        <x:v>0</x:v>
      </x:c>
      <x:c r="AM35" s="45" t="n">
        <x:f t="shared" si="9">AM31*(INT((AM$25-1)/$C$4)*$C$4+$J$4)*$E$4*AM27</x:f>
        <x:v>0</x:v>
      </x:c>
      <x:c r="AN35" s="45" t="n">
        <x:f t="shared" si="9">AN31*(INT((AN$25-1)/$C$4)*$C$4+$J$4)*$E$4*AN27</x:f>
        <x:v>0</x:v>
      </x:c>
      <x:c r="AO35" s="51" t="n">
        <x:f t="shared" si="9">AO31*(INT((AO$25-1)/$C$4)*$C$4+$J$4)*$E$4*AO27</x:f>
        <x:v>0</x:v>
      </x:c>
    </x:row>
    <x:row r="36">
      <x:c r="A36" s="42" t="str">
        <x:v>총 골드 드롭</x:v>
      </x:c>
      <x:c r="B36" s="45" t="n">
        <x:f t="shared" ref="B36:AO36" si="10">SUM(B33:B35)</x:f>
        <x:v>100</x:v>
      </x:c>
      <x:c r="C36" s="45" t="n">
        <x:f t="shared" si="10">SUM(C33:C35)</x:f>
        <x:v>200</x:v>
      </x:c>
      <x:c r="D36" s="45" t="n">
        <x:f t="shared" si="10">SUM(D33:D35)</x:f>
        <x:v>300</x:v>
      </x:c>
      <x:c r="E36" s="45" t="n">
        <x:f t="shared" si="10">SUM(E33:E35)</x:f>
        <x:v>400</x:v>
      </x:c>
      <x:c r="F36" s="48" t="n">
        <x:f t="shared" si="10">SUM(F33:F35)</x:f>
        <x:v>750</x:v>
      </x:c>
      <x:c r="G36" s="45" t="n">
        <x:f t="shared" si="10">SUM(G33:G35)</x:f>
        <x:v>600</x:v>
      </x:c>
      <x:c r="H36" s="45" t="n">
        <x:f t="shared" si="10">SUM(H33:H35)</x:f>
        <x:v>700</x:v>
      </x:c>
      <x:c r="I36" s="45" t="n">
        <x:f t="shared" si="10">SUM(I33:I35)</x:f>
        <x:v>800</x:v>
      </x:c>
      <x:c r="J36" s="45" t="n">
        <x:f t="shared" si="10">SUM(J33:J35)</x:f>
        <x:v>900</x:v>
      </x:c>
      <x:c r="K36" s="51" t="n">
        <x:f t="shared" si="10">SUM(K33:K35)</x:f>
        <x:v>1000</x:v>
      </x:c>
      <x:c r="L36" s="45" t="n">
        <x:f t="shared" si="10">SUM(L33:L35)</x:f>
        <x:v>2200</x:v>
      </x:c>
      <x:c r="M36" s="45" t="n">
        <x:f t="shared" si="10">SUM(M33:M35)</x:f>
        <x:v>2400</x:v>
      </x:c>
      <x:c r="N36" s="45" t="n">
        <x:f t="shared" si="10">SUM(N33:N35)</x:f>
        <x:v>2600</x:v>
      </x:c>
      <x:c r="O36" s="45" t="n">
        <x:f t="shared" si="10">SUM(O33:O35)</x:f>
        <x:v>2800</x:v>
      </x:c>
      <x:c r="P36" s="48" t="n">
        <x:f t="shared" si="10">SUM(P33:P35)</x:f>
        <x:v>4500</x:v>
      </x:c>
      <x:c r="Q36" s="45" t="n">
        <x:f t="shared" si="10">SUM(Q33:Q35)</x:f>
        <x:v>3200</x:v>
      </x:c>
      <x:c r="R36" s="45" t="n">
        <x:f t="shared" si="10">SUM(R33:R35)</x:f>
        <x:v>3400</x:v>
      </x:c>
      <x:c r="S36" s="45" t="n">
        <x:f t="shared" si="10">SUM(S33:S35)</x:f>
        <x:v>3600</x:v>
      </x:c>
      <x:c r="T36" s="45" t="n">
        <x:f t="shared" si="10">SUM(T33:T35)</x:f>
        <x:v>3800</x:v>
      </x:c>
      <x:c r="U36" s="51" t="n">
        <x:f t="shared" si="10">SUM(U33:U35)</x:f>
        <x:v>4000</x:v>
      </x:c>
      <x:c r="V36" s="45" t="n">
        <x:f t="shared" si="10">SUM(V33:V35)</x:f>
        <x:v>6300</x:v>
      </x:c>
      <x:c r="W36" s="45" t="n">
        <x:f t="shared" si="10">SUM(W33:W35)</x:f>
        <x:v>6600</x:v>
      </x:c>
      <x:c r="X36" s="45" t="n">
        <x:f t="shared" si="10">SUM(X33:X35)</x:f>
        <x:v>6900</x:v>
      </x:c>
      <x:c r="Y36" s="45" t="n">
        <x:f t="shared" si="10">SUM(Y33:Y35)</x:f>
        <x:v>7200</x:v>
      </x:c>
      <x:c r="Z36" s="48" t="n">
        <x:f t="shared" si="10">SUM(Z33:Z35)</x:f>
        <x:v>11250</x:v>
      </x:c>
      <x:c r="AA36" s="45" t="n">
        <x:f t="shared" si="10">SUM(AA33:AA35)</x:f>
        <x:v>7800</x:v>
      </x:c>
      <x:c r="AB36" s="45" t="n">
        <x:f t="shared" si="10">SUM(AB33:AB35)</x:f>
        <x:v>8100</x:v>
      </x:c>
      <x:c r="AC36" s="45" t="n">
        <x:f t="shared" si="10">SUM(AC33:AC35)</x:f>
        <x:v>8400</x:v>
      </x:c>
      <x:c r="AD36" s="45" t="n">
        <x:f t="shared" si="10">SUM(AD33:AD35)</x:f>
        <x:v>8700</x:v>
      </x:c>
      <x:c r="AE36" s="51" t="n">
        <x:f t="shared" si="10">SUM(AE33:AE35)</x:f>
        <x:v>9000</x:v>
      </x:c>
      <x:c r="AF36" s="45" t="n">
        <x:f t="shared" si="10">SUM(AF33:AF35)</x:f>
        <x:v>12400</x:v>
      </x:c>
      <x:c r="AG36" s="45" t="n">
        <x:f t="shared" si="10">SUM(AG33:AG35)</x:f>
        <x:v>12800</x:v>
      </x:c>
      <x:c r="AH36" s="45" t="n">
        <x:f t="shared" si="10">SUM(AH33:AH35)</x:f>
        <x:v>13200</x:v>
      </x:c>
      <x:c r="AI36" s="45" t="n">
        <x:f t="shared" si="10">SUM(AI33:AI35)</x:f>
        <x:v>13600</x:v>
      </x:c>
      <x:c r="AJ36" s="48" t="n">
        <x:f t="shared" si="10">SUM(AJ33:AJ35)</x:f>
        <x:v>21000</x:v>
      </x:c>
      <x:c r="AK36" s="45" t="n">
        <x:f t="shared" si="10">SUM(AK33:AK35)</x:f>
        <x:v>14400</x:v>
      </x:c>
      <x:c r="AL36" s="45" t="n">
        <x:f t="shared" si="10">SUM(AL33:AL35)</x:f>
        <x:v>14800</x:v>
      </x:c>
      <x:c r="AM36" s="45" t="n">
        <x:f t="shared" si="10">SUM(AM33:AM35)</x:f>
        <x:v>15200</x:v>
      </x:c>
      <x:c r="AN36" s="45" t="n">
        <x:f t="shared" si="10">SUM(AN33:AN35)</x:f>
        <x:v>15600</x:v>
      </x:c>
      <x:c r="AO36" s="51" t="n">
        <x:f t="shared" si="10">SUM(AO33:AO35)</x:f>
        <x:v>16000</x:v>
      </x:c>
    </x:row>
    <x:row r="37">
      <x:c r="A37" s="42" t="str">
        <x:v>최종보스 젬</x:v>
      </x:c>
      <x:c r="B37" s="45" t="n">
        <x:f t="shared" ref="B37:AO37" si="11">B30*B$25*$H$4*B27</x:f>
        <x:v>0</x:v>
      </x:c>
      <x:c r="C37" s="45" t="n">
        <x:f t="shared" si="11">C30*C$25*$H$4*C27</x:f>
        <x:v>0</x:v>
      </x:c>
      <x:c r="D37" s="45" t="n">
        <x:f t="shared" si="11">D30*D$25*$H$4*D27</x:f>
        <x:v>0</x:v>
      </x:c>
      <x:c r="E37" s="45" t="n">
        <x:f t="shared" si="11">E30*E$25*$H$4*E27</x:f>
        <x:v>0</x:v>
      </x:c>
      <x:c r="F37" s="48" t="n">
        <x:f t="shared" si="11">F30*F$25*$H$4*F27</x:f>
        <x:v>0</x:v>
      </x:c>
      <x:c r="G37" s="45" t="n">
        <x:f t="shared" si="11">G30*G$25*$H$4*G27</x:f>
        <x:v>0</x:v>
      </x:c>
      <x:c r="H37" s="45" t="n">
        <x:f t="shared" si="11">H30*H$25*$H$4*H27</x:f>
        <x:v>0</x:v>
      </x:c>
      <x:c r="I37" s="45" t="n">
        <x:f t="shared" si="11">I30*I$25*$H$4*I27</x:f>
        <x:v>0</x:v>
      </x:c>
      <x:c r="J37" s="45" t="n">
        <x:f t="shared" si="11">J30*J$25*$H$4*J27</x:f>
        <x:v>0</x:v>
      </x:c>
      <x:c r="K37" s="51" t="n">
        <x:f t="shared" si="11">K30*K$25*$H$4*K27</x:f>
        <x:v>20</x:v>
      </x:c>
      <x:c r="L37" s="45" t="n">
        <x:f t="shared" si="11">L30*L$25*$H$4*L27</x:f>
        <x:v>0</x:v>
      </x:c>
      <x:c r="M37" s="45" t="n">
        <x:f t="shared" si="11">M30*M$25*$H$4*M27</x:f>
        <x:v>0</x:v>
      </x:c>
      <x:c r="N37" s="45" t="n">
        <x:f t="shared" si="11">N30*N$25*$H$4*N27</x:f>
        <x:v>0</x:v>
      </x:c>
      <x:c r="O37" s="45" t="n">
        <x:f t="shared" si="11">O30*O$25*$H$4*O27</x:f>
        <x:v>0</x:v>
      </x:c>
      <x:c r="P37" s="48" t="n">
        <x:f t="shared" si="11">P30*P$25*$H$4*P27</x:f>
        <x:v>0</x:v>
      </x:c>
      <x:c r="Q37" s="45" t="n">
        <x:f t="shared" si="11">Q30*Q$25*$H$4*Q27</x:f>
        <x:v>0</x:v>
      </x:c>
      <x:c r="R37" s="45" t="n">
        <x:f t="shared" si="11">R30*R$25*$H$4*R27</x:f>
        <x:v>0</x:v>
      </x:c>
      <x:c r="S37" s="45" t="n">
        <x:f t="shared" si="11">S30*S$25*$H$4*S27</x:f>
        <x:v>0</x:v>
      </x:c>
      <x:c r="T37" s="45" t="n">
        <x:f t="shared" si="11">T30*T$25*$H$4*T27</x:f>
        <x:v>0</x:v>
      </x:c>
      <x:c r="U37" s="51" t="n">
        <x:f t="shared" si="11">U30*U$25*$H$4*U27</x:f>
        <x:v>80</x:v>
      </x:c>
      <x:c r="V37" s="45" t="n">
        <x:f t="shared" si="11">V30*V$25*$H$4*V27</x:f>
        <x:v>0</x:v>
      </x:c>
      <x:c r="W37" s="45" t="n">
        <x:f t="shared" si="11">W30*W$25*$H$4*W27</x:f>
        <x:v>0</x:v>
      </x:c>
      <x:c r="X37" s="45" t="n">
        <x:f t="shared" si="11">X30*X$25*$H$4*X27</x:f>
        <x:v>0</x:v>
      </x:c>
      <x:c r="Y37" s="45" t="n">
        <x:f t="shared" si="11">Y30*Y$25*$H$4*Y27</x:f>
        <x:v>0</x:v>
      </x:c>
      <x:c r="Z37" s="48" t="n">
        <x:f t="shared" si="11">Z30*Z$25*$H$4*Z27</x:f>
        <x:v>0</x:v>
      </x:c>
      <x:c r="AA37" s="45" t="n">
        <x:f t="shared" si="11">AA30*AA$25*$H$4*AA27</x:f>
        <x:v>0</x:v>
      </x:c>
      <x:c r="AB37" s="45" t="n">
        <x:f t="shared" si="11">AB30*AB$25*$H$4*AB27</x:f>
        <x:v>0</x:v>
      </x:c>
      <x:c r="AC37" s="45" t="n">
        <x:f t="shared" si="11">AC30*AC$25*$H$4*AC27</x:f>
        <x:v>0</x:v>
      </x:c>
      <x:c r="AD37" s="45" t="n">
        <x:f t="shared" si="11">AD30*AD$25*$H$4*AD27</x:f>
        <x:v>0</x:v>
      </x:c>
      <x:c r="AE37" s="51" t="n">
        <x:f t="shared" si="11">AE30*AE$25*$H$4*AE27</x:f>
        <x:v>180</x:v>
      </x:c>
      <x:c r="AF37" s="45" t="n">
        <x:f t="shared" si="11">AF30*AF$25*$H$4*AF27</x:f>
        <x:v>0</x:v>
      </x:c>
      <x:c r="AG37" s="45" t="n">
        <x:f t="shared" si="11">AG30*AG$25*$H$4*AG27</x:f>
        <x:v>0</x:v>
      </x:c>
      <x:c r="AH37" s="45" t="n">
        <x:f t="shared" si="11">AH30*AH$25*$H$4*AH27</x:f>
        <x:v>0</x:v>
      </x:c>
      <x:c r="AI37" s="45" t="n">
        <x:f t="shared" si="11">AI30*AI$25*$H$4*AI27</x:f>
        <x:v>0</x:v>
      </x:c>
      <x:c r="AJ37" s="48" t="n">
        <x:f t="shared" si="11">AJ30*AJ$25*$H$4*AJ27</x:f>
        <x:v>0</x:v>
      </x:c>
      <x:c r="AK37" s="45" t="n">
        <x:f t="shared" si="11">AK30*AK$25*$H$4*AK27</x:f>
        <x:v>0</x:v>
      </x:c>
      <x:c r="AL37" s="45" t="n">
        <x:f t="shared" si="11">AL30*AL$25*$H$4*AL27</x:f>
        <x:v>0</x:v>
      </x:c>
      <x:c r="AM37" s="45" t="n">
        <x:f t="shared" si="11">AM30*AM$25*$H$4*AM27</x:f>
        <x:v>0</x:v>
      </x:c>
      <x:c r="AN37" s="45" t="n">
        <x:f t="shared" si="11">AN30*AN$25*$H$4*AN27</x:f>
        <x:v>0</x:v>
      </x:c>
      <x:c r="AO37" s="51" t="n">
        <x:f t="shared" si="11">AO30*AO$25*$H$4*AO27</x:f>
        <x:v>320</x:v>
      </x:c>
    </x:row>
    <x:row r="38">
      <x:c r="A38" s="42" t="str">
        <x:v>중간보스 젬</x:v>
      </x:c>
      <x:c r="B38" s="45" t="n">
        <x:f t="shared" ref="B38:AO38" si="12">B31*(INT((B$25-1)/$C$4)*$C$4+$J$4)*$F$4*B27</x:f>
        <x:v>0</x:v>
      </x:c>
      <x:c r="C38" s="45" t="n">
        <x:f t="shared" si="12">C31*(INT((C$25-1)/$C$4)*$C$4+$J$4)*$F$4*C27</x:f>
        <x:v>0</x:v>
      </x:c>
      <x:c r="D38" s="45" t="n">
        <x:f t="shared" si="12">D31*(INT((D$25-1)/$C$4)*$C$4+$J$4)*$F$4*D27</x:f>
        <x:v>0</x:v>
      </x:c>
      <x:c r="E38" s="45" t="n">
        <x:f t="shared" si="12">E31*(INT((E$25-1)/$C$4)*$C$4+$J$4)*$F$4*E27</x:f>
        <x:v>0</x:v>
      </x:c>
      <x:c r="F38" s="48" t="n">
        <x:f t="shared" si="12">F31*(INT((F$25-1)/$C$4)*$C$4+$J$4)*$F$4*F27</x:f>
        <x:v>5</x:v>
      </x:c>
      <x:c r="G38" s="45" t="n">
        <x:f t="shared" si="12">G31*(INT((G$25-1)/$C$4)*$C$4+$J$4)*$F$4*G27</x:f>
        <x:v>0</x:v>
      </x:c>
      <x:c r="H38" s="45" t="n">
        <x:f t="shared" si="12">H31*(INT((H$25-1)/$C$4)*$C$4+$J$4)*$F$4*H27</x:f>
        <x:v>0</x:v>
      </x:c>
      <x:c r="I38" s="45" t="n">
        <x:f t="shared" si="12">I31*(INT((I$25-1)/$C$4)*$C$4+$J$4)*$F$4*I27</x:f>
        <x:v>0</x:v>
      </x:c>
      <x:c r="J38" s="45" t="n">
        <x:f t="shared" si="12">J31*(INT((J$25-1)/$C$4)*$C$4+$J$4)*$F$4*J27</x:f>
        <x:v>0</x:v>
      </x:c>
      <x:c r="K38" s="51" t="n">
        <x:f t="shared" si="12">K31*(INT((K$25-1)/$C$4)*$C$4+$J$4)*$F$4*K27</x:f>
        <x:v>0</x:v>
      </x:c>
      <x:c r="L38" s="45" t="n">
        <x:f t="shared" si="12">L31*(INT((L$25-1)/$C$4)*$C$4+$J$4)*$F$4*L27</x:f>
        <x:v>0</x:v>
      </x:c>
      <x:c r="M38" s="45" t="n">
        <x:f t="shared" si="12">M31*(INT((M$25-1)/$C$4)*$C$4+$J$4)*$F$4*M27</x:f>
        <x:v>0</x:v>
      </x:c>
      <x:c r="N38" s="45" t="n">
        <x:f t="shared" si="12">N31*(INT((N$25-1)/$C$4)*$C$4+$J$4)*$F$4*N27</x:f>
        <x:v>0</x:v>
      </x:c>
      <x:c r="O38" s="45" t="n">
        <x:f t="shared" si="12">O31*(INT((O$25-1)/$C$4)*$C$4+$J$4)*$F$4*O27</x:f>
        <x:v>0</x:v>
      </x:c>
      <x:c r="P38" s="48" t="n">
        <x:f t="shared" si="12">P31*(INT((P$25-1)/$C$4)*$C$4+$J$4)*$F$4*P27</x:f>
        <x:v>30</x:v>
      </x:c>
      <x:c r="Q38" s="45" t="n">
        <x:f t="shared" si="12">Q31*(INT((Q$25-1)/$C$4)*$C$4+$J$4)*$F$4*Q27</x:f>
        <x:v>0</x:v>
      </x:c>
      <x:c r="R38" s="45" t="n">
        <x:f t="shared" si="12">R31*(INT((R$25-1)/$C$4)*$C$4+$J$4)*$F$4*R27</x:f>
        <x:v>0</x:v>
      </x:c>
      <x:c r="S38" s="45" t="n">
        <x:f t="shared" si="12">S31*(INT((S$25-1)/$C$4)*$C$4+$J$4)*$F$4*S27</x:f>
        <x:v>0</x:v>
      </x:c>
      <x:c r="T38" s="45" t="n">
        <x:f t="shared" si="12">T31*(INT((T$25-1)/$C$4)*$C$4+$J$4)*$F$4*T27</x:f>
        <x:v>0</x:v>
      </x:c>
      <x:c r="U38" s="51" t="n">
        <x:f t="shared" si="12">U31*(INT((U$25-1)/$C$4)*$C$4+$J$4)*$F$4*U27</x:f>
        <x:v>0</x:v>
      </x:c>
      <x:c r="V38" s="45" t="n">
        <x:f t="shared" si="12">V31*(INT((V$25-1)/$C$4)*$C$4+$J$4)*$F$4*V27</x:f>
        <x:v>0</x:v>
      </x:c>
      <x:c r="W38" s="45" t="n">
        <x:f t="shared" si="12">W31*(INT((W$25-1)/$C$4)*$C$4+$J$4)*$F$4*W27</x:f>
        <x:v>0</x:v>
      </x:c>
      <x:c r="X38" s="45" t="n">
        <x:f t="shared" si="12">X31*(INT((X$25-1)/$C$4)*$C$4+$J$4)*$F$4*X27</x:f>
        <x:v>0</x:v>
      </x:c>
      <x:c r="Y38" s="45" t="n">
        <x:f t="shared" si="12">Y31*(INT((Y$25-1)/$C$4)*$C$4+$J$4)*$F$4*Y27</x:f>
        <x:v>0</x:v>
      </x:c>
      <x:c r="Z38" s="48" t="n">
        <x:f t="shared" si="12">Z31*(INT((Z$25-1)/$C$4)*$C$4+$J$4)*$F$4*Z27</x:f>
        <x:v>75</x:v>
      </x:c>
      <x:c r="AA38" s="45" t="n">
        <x:f t="shared" si="12">AA31*(INT((AA$25-1)/$C$4)*$C$4+$J$4)*$F$4*AA27</x:f>
        <x:v>0</x:v>
      </x:c>
      <x:c r="AB38" s="45" t="n">
        <x:f t="shared" si="12">AB31*(INT((AB$25-1)/$C$4)*$C$4+$J$4)*$F$4*AB27</x:f>
        <x:v>0</x:v>
      </x:c>
      <x:c r="AC38" s="45" t="n">
        <x:f t="shared" si="12">AC31*(INT((AC$25-1)/$C$4)*$C$4+$J$4)*$F$4*AC27</x:f>
        <x:v>0</x:v>
      </x:c>
      <x:c r="AD38" s="45" t="n">
        <x:f t="shared" si="12">AD31*(INT((AD$25-1)/$C$4)*$C$4+$J$4)*$F$4*AD27</x:f>
        <x:v>0</x:v>
      </x:c>
      <x:c r="AE38" s="51" t="n">
        <x:f t="shared" si="12">AE31*(INT((AE$25-1)/$C$4)*$C$4+$J$4)*$F$4*AE27</x:f>
        <x:v>0</x:v>
      </x:c>
      <x:c r="AF38" s="45" t="n">
        <x:f t="shared" si="12">AF31*(INT((AF$25-1)/$C$4)*$C$4+$J$4)*$F$4*AF27</x:f>
        <x:v>0</x:v>
      </x:c>
      <x:c r="AG38" s="45" t="n">
        <x:f t="shared" si="12">AG31*(INT((AG$25-1)/$C$4)*$C$4+$J$4)*$F$4*AG27</x:f>
        <x:v>0</x:v>
      </x:c>
      <x:c r="AH38" s="45" t="n">
        <x:f t="shared" si="12">AH31*(INT((AH$25-1)/$C$4)*$C$4+$J$4)*$F$4*AH27</x:f>
        <x:v>0</x:v>
      </x:c>
      <x:c r="AI38" s="45" t="n">
        <x:f t="shared" si="12">AI31*(INT((AI$25-1)/$C$4)*$C$4+$J$4)*$F$4*AI27</x:f>
        <x:v>0</x:v>
      </x:c>
      <x:c r="AJ38" s="48" t="n">
        <x:f t="shared" si="12">AJ31*(INT((AJ$25-1)/$C$4)*$C$4+$J$4)*$F$4*AJ27</x:f>
        <x:v>140</x:v>
      </x:c>
      <x:c r="AK38" s="45" t="n">
        <x:f t="shared" si="12">AK31*(INT((AK$25-1)/$C$4)*$C$4+$J$4)*$F$4*AK27</x:f>
        <x:v>0</x:v>
      </x:c>
      <x:c r="AL38" s="45" t="n">
        <x:f t="shared" si="12">AL31*(INT((AL$25-1)/$C$4)*$C$4+$J$4)*$F$4*AL27</x:f>
        <x:v>0</x:v>
      </x:c>
      <x:c r="AM38" s="45" t="n">
        <x:f t="shared" si="12">AM31*(INT((AM$25-1)/$C$4)*$C$4+$J$4)*$F$4*AM27</x:f>
        <x:v>0</x:v>
      </x:c>
      <x:c r="AN38" s="45" t="n">
        <x:f t="shared" si="12">AN31*(INT((AN$25-1)/$C$4)*$C$4+$J$4)*$F$4*AN27</x:f>
        <x:v>0</x:v>
      </x:c>
      <x:c r="AO38" s="51" t="n">
        <x:f t="shared" si="12">AO31*(INT((AO$25-1)/$C$4)*$C$4+$J$4)*$F$4*AO27</x:f>
        <x:v>0</x:v>
      </x:c>
    </x:row>
    <x:row r="39">
      <x:c r="A39" s="42" t="str">
        <x:v>총 젬 드롭</x:v>
      </x:c>
      <x:c r="B39" s="45" t="n">
        <x:f t="shared" ref="B39:AO39" si="13">SUM(B37:B38)</x:f>
        <x:v>0</x:v>
      </x:c>
      <x:c r="C39" s="45" t="n">
        <x:f t="shared" si="13">SUM(C37:C38)</x:f>
        <x:v>0</x:v>
      </x:c>
      <x:c r="D39" s="45" t="n">
        <x:f t="shared" si="13">SUM(D37:D38)</x:f>
        <x:v>0</x:v>
      </x:c>
      <x:c r="E39" s="45" t="n">
        <x:f t="shared" si="13">SUM(E37:E38)</x:f>
        <x:v>0</x:v>
      </x:c>
      <x:c r="F39" s="48" t="n">
        <x:f t="shared" si="13">SUM(F37:F38)</x:f>
        <x:v>5</x:v>
      </x:c>
      <x:c r="G39" s="45" t="n">
        <x:f t="shared" si="13">SUM(G37:G38)</x:f>
        <x:v>0</x:v>
      </x:c>
      <x:c r="H39" s="45" t="n">
        <x:f t="shared" si="13">SUM(H37:H38)</x:f>
        <x:v>0</x:v>
      </x:c>
      <x:c r="I39" s="45" t="n">
        <x:f t="shared" si="13">SUM(I37:I38)</x:f>
        <x:v>0</x:v>
      </x:c>
      <x:c r="J39" s="45" t="n">
        <x:f t="shared" si="13">SUM(J37:J38)</x:f>
        <x:v>0</x:v>
      </x:c>
      <x:c r="K39" s="51" t="n">
        <x:f t="shared" si="13">SUM(K37:K38)</x:f>
        <x:v>20</x:v>
      </x:c>
      <x:c r="L39" s="45" t="n">
        <x:f t="shared" si="13">SUM(L37:L38)</x:f>
        <x:v>0</x:v>
      </x:c>
      <x:c r="M39" s="45" t="n">
        <x:f t="shared" si="13">SUM(M37:M38)</x:f>
        <x:v>0</x:v>
      </x:c>
      <x:c r="N39" s="45" t="n">
        <x:f t="shared" si="13">SUM(N37:N38)</x:f>
        <x:v>0</x:v>
      </x:c>
      <x:c r="O39" s="45" t="n">
        <x:f t="shared" si="13">SUM(O37:O38)</x:f>
        <x:v>0</x:v>
      </x:c>
      <x:c r="P39" s="48" t="n">
        <x:f t="shared" si="13">SUM(P37:P38)</x:f>
        <x:v>30</x:v>
      </x:c>
      <x:c r="Q39" s="45" t="n">
        <x:f t="shared" si="13">SUM(Q37:Q38)</x:f>
        <x:v>0</x:v>
      </x:c>
      <x:c r="R39" s="45" t="n">
        <x:f t="shared" si="13">SUM(R37:R38)</x:f>
        <x:v>0</x:v>
      </x:c>
      <x:c r="S39" s="45" t="n">
        <x:f t="shared" si="13">SUM(S37:S38)</x:f>
        <x:v>0</x:v>
      </x:c>
      <x:c r="T39" s="45" t="n">
        <x:f t="shared" si="13">SUM(T37:T38)</x:f>
        <x:v>0</x:v>
      </x:c>
      <x:c r="U39" s="51" t="n">
        <x:f t="shared" si="13">SUM(U37:U38)</x:f>
        <x:v>80</x:v>
      </x:c>
      <x:c r="V39" s="45" t="n">
        <x:f t="shared" si="13">SUM(V37:V38)</x:f>
        <x:v>0</x:v>
      </x:c>
      <x:c r="W39" s="45" t="n">
        <x:f t="shared" si="13">SUM(W37:W38)</x:f>
        <x:v>0</x:v>
      </x:c>
      <x:c r="X39" s="45" t="n">
        <x:f t="shared" si="13">SUM(X37:X38)</x:f>
        <x:v>0</x:v>
      </x:c>
      <x:c r="Y39" s="45" t="n">
        <x:f t="shared" si="13">SUM(Y37:Y38)</x:f>
        <x:v>0</x:v>
      </x:c>
      <x:c r="Z39" s="48" t="n">
        <x:f t="shared" si="13">SUM(Z37:Z38)</x:f>
        <x:v>75</x:v>
      </x:c>
      <x:c r="AA39" s="45" t="n">
        <x:f t="shared" si="13">SUM(AA37:AA38)</x:f>
        <x:v>0</x:v>
      </x:c>
      <x:c r="AB39" s="45" t="n">
        <x:f t="shared" si="13">SUM(AB37:AB38)</x:f>
        <x:v>0</x:v>
      </x:c>
      <x:c r="AC39" s="45" t="n">
        <x:f t="shared" si="13">SUM(AC37:AC38)</x:f>
        <x:v>0</x:v>
      </x:c>
      <x:c r="AD39" s="45" t="n">
        <x:f t="shared" si="13">SUM(AD37:AD38)</x:f>
        <x:v>0</x:v>
      </x:c>
      <x:c r="AE39" s="51" t="n">
        <x:f t="shared" si="13">SUM(AE37:AE38)</x:f>
        <x:v>180</x:v>
      </x:c>
      <x:c r="AF39" s="45" t="n">
        <x:f t="shared" si="13">SUM(AF37:AF38)</x:f>
        <x:v>0</x:v>
      </x:c>
      <x:c r="AG39" s="45" t="n">
        <x:f t="shared" si="13">SUM(AG37:AG38)</x:f>
        <x:v>0</x:v>
      </x:c>
      <x:c r="AH39" s="45" t="n">
        <x:f t="shared" si="13">SUM(AH37:AH38)</x:f>
        <x:v>0</x:v>
      </x:c>
      <x:c r="AI39" s="45" t="n">
        <x:f t="shared" si="13">SUM(AI37:AI38)</x:f>
        <x:v>0</x:v>
      </x:c>
      <x:c r="AJ39" s="48" t="n">
        <x:f t="shared" si="13">SUM(AJ37:AJ38)</x:f>
        <x:v>140</x:v>
      </x:c>
      <x:c r="AK39" s="45" t="n">
        <x:f t="shared" si="13">SUM(AK37:AK38)</x:f>
        <x:v>0</x:v>
      </x:c>
      <x:c r="AL39" s="45" t="n">
        <x:f t="shared" si="13">SUM(AL37:AL38)</x:f>
        <x:v>0</x:v>
      </x:c>
      <x:c r="AM39" s="45" t="n">
        <x:f t="shared" si="13">SUM(AM37:AM38)</x:f>
        <x:v>0</x:v>
      </x:c>
      <x:c r="AN39" s="45" t="n">
        <x:f t="shared" si="13">SUM(AN37:AN38)</x:f>
        <x:v>0</x:v>
      </x:c>
      <x:c r="AO39" s="51" t="n">
        <x:f t="shared" si="13">SUM(AO37:AO38)</x:f>
        <x:v>320</x:v>
      </x:c>
    </x:row>
    <x:row r="40">
      <x:c r="A40" s="42" t="str">
        <x:v>누적 골드 드롭</x:v>
      </x:c>
      <x:c r="B40" s="45" t="n">
        <x:f>SUM($B$36:B36)</x:f>
        <x:v>100</x:v>
      </x:c>
      <x:c r="C40" s="45" t="n">
        <x:f>SUM($B$36:C36)</x:f>
        <x:v>300</x:v>
      </x:c>
      <x:c r="D40" s="45" t="n">
        <x:f>SUM($B$36:D36)</x:f>
        <x:v>600</x:v>
      </x:c>
      <x:c r="E40" s="45" t="n">
        <x:f>SUM($B$36:E36)</x:f>
        <x:v>1000</x:v>
      </x:c>
      <x:c r="F40" s="48" t="n">
        <x:f>SUM($B$36:F36)</x:f>
        <x:v>1750</x:v>
      </x:c>
      <x:c r="G40" s="45" t="n">
        <x:f>SUM($B$36:G36)</x:f>
        <x:v>2350</x:v>
      </x:c>
      <x:c r="H40" s="45" t="n">
        <x:f>SUM($B$36:H36)</x:f>
        <x:v>3050</x:v>
      </x:c>
      <x:c r="I40" s="45" t="n">
        <x:f>SUM($B$36:I36)</x:f>
        <x:v>3850</x:v>
      </x:c>
      <x:c r="J40" s="45" t="n">
        <x:f>SUM($B$36:J36)</x:f>
        <x:v>4750</x:v>
      </x:c>
      <x:c r="K40" s="51" t="n">
        <x:f>SUM($B$36:K36)</x:f>
        <x:v>5750</x:v>
      </x:c>
      <x:c r="L40" s="45" t="n">
        <x:f>SUM($B$36:L36)</x:f>
        <x:v>7950</x:v>
      </x:c>
      <x:c r="M40" s="45" t="n">
        <x:f>SUM($B$36:M36)</x:f>
        <x:v>10350</x:v>
      </x:c>
      <x:c r="N40" s="45" t="n">
        <x:f>SUM($B$36:N36)</x:f>
        <x:v>12950</x:v>
      </x:c>
      <x:c r="O40" s="45" t="n">
        <x:f>SUM($B$36:O36)</x:f>
        <x:v>15750</x:v>
      </x:c>
      <x:c r="P40" s="48" t="n">
        <x:f>SUM($B$36:P36)</x:f>
        <x:v>20250</x:v>
      </x:c>
      <x:c r="Q40" s="45" t="n">
        <x:f>SUM($B$36:Q36)</x:f>
        <x:v>23450</x:v>
      </x:c>
      <x:c r="R40" s="45" t="n">
        <x:f>SUM($B$36:R36)</x:f>
        <x:v>26850</x:v>
      </x:c>
      <x:c r="S40" s="45" t="n">
        <x:f>SUM($B$36:S36)</x:f>
        <x:v>30450</x:v>
      </x:c>
      <x:c r="T40" s="45" t="n">
        <x:f>SUM($B$36:T36)</x:f>
        <x:v>34250</x:v>
      </x:c>
      <x:c r="U40" s="51" t="n">
        <x:f>SUM($B$36:U36)</x:f>
        <x:v>38250</x:v>
      </x:c>
      <x:c r="V40" s="45" t="n">
        <x:f>SUM($B$36:V36)</x:f>
        <x:v>44550</x:v>
      </x:c>
      <x:c r="W40" s="45" t="n">
        <x:f>SUM($B$36:W36)</x:f>
        <x:v>51150</x:v>
      </x:c>
      <x:c r="X40" s="45" t="n">
        <x:f>SUM($B$36:X36)</x:f>
        <x:v>58050</x:v>
      </x:c>
      <x:c r="Y40" s="45" t="n">
        <x:f>SUM($B$36:Y36)</x:f>
        <x:v>65250</x:v>
      </x:c>
      <x:c r="Z40" s="48" t="n">
        <x:f>SUM($B$36:Z36)</x:f>
        <x:v>76500</x:v>
      </x:c>
      <x:c r="AA40" s="45" t="n">
        <x:f>SUM($B$36:AA36)</x:f>
        <x:v>84300</x:v>
      </x:c>
      <x:c r="AB40" s="45" t="n">
        <x:f>SUM($B$36:AB36)</x:f>
        <x:v>92400</x:v>
      </x:c>
      <x:c r="AC40" s="45" t="n">
        <x:f>SUM($B$36:AC36)</x:f>
        <x:v>100800</x:v>
      </x:c>
      <x:c r="AD40" s="45" t="n">
        <x:f>SUM($B$36:AD36)</x:f>
        <x:v>109500</x:v>
      </x:c>
      <x:c r="AE40" s="51" t="n">
        <x:f>SUM($B$36:AE36)</x:f>
        <x:v>118500</x:v>
      </x:c>
      <x:c r="AF40" s="45" t="n">
        <x:f>SUM($B$36:AF36)</x:f>
        <x:v>130900</x:v>
      </x:c>
      <x:c r="AG40" s="45" t="n">
        <x:f>SUM($B$36:AG36)</x:f>
        <x:v>143700</x:v>
      </x:c>
      <x:c r="AH40" s="45" t="n">
        <x:f>SUM($B$36:AH36)</x:f>
        <x:v>156900</x:v>
      </x:c>
      <x:c r="AI40" s="45" t="n">
        <x:f>SUM($B$36:AI36)</x:f>
        <x:v>170500</x:v>
      </x:c>
      <x:c r="AJ40" s="48" t="n">
        <x:f>SUM($B$36:AJ36)</x:f>
        <x:v>191500</x:v>
      </x:c>
      <x:c r="AK40" s="45" t="n">
        <x:f>SUM($B$36:AK36)</x:f>
        <x:v>205900</x:v>
      </x:c>
      <x:c r="AL40" s="45" t="n">
        <x:f>SUM($B$36:AL36)</x:f>
        <x:v>220700</x:v>
      </x:c>
      <x:c r="AM40" s="45" t="n">
        <x:f>SUM($B$36:AM36)</x:f>
        <x:v>235900</x:v>
      </x:c>
      <x:c r="AN40" s="45" t="n">
        <x:f>SUM($B$36:AN36)</x:f>
        <x:v>251500</x:v>
      </x:c>
      <x:c r="AO40" s="51" t="n">
        <x:f>SUM($B$36:AO36)</x:f>
        <x:v>267500</x:v>
      </x:c>
    </x:row>
    <x:row r="41">
      <x:c r="A41" s="42" t="str">
        <x:v>웨이브 종료 시 최대 기본 타워 설치 수</x:v>
      </x:c>
      <x:c r="B41" s="45" t="n">
        <x:f>INT((-(2*$K$4-$L$4)+SQRT((2*$K$4-$L$4)^2+8*$L$4*B40))/(2*$L$4))</x:f>
        <x:v>1</x:v>
      </x:c>
      <x:c r="C41" s="45" t="n">
        <x:f>INT((-(2*$K$4-$L$4)+SQRT((2*$K$4-$L$4)^2+8*$L$4*C40))/(2*$L$4))</x:f>
        <x:v>5</x:v>
      </x:c>
      <x:c r="D41" s="45" t="n">
        <x:f>INT((-(2*$K$4-$L$4)+SQRT((2*$K$4-$L$4)^2+8*$L$4*D40))/(2*$L$4))</x:f>
        <x:v>10</x:v>
      </x:c>
      <x:c r="E41" s="45" t="n">
        <x:f>INT((-(2*$K$4-$L$4)+SQRT((2*$K$4-$L$4)^2+8*$L$4*E40))/(2*$L$4))</x:f>
        <x:v>15</x:v>
      </x:c>
      <x:c r="F41" s="48" t="n">
        <x:f>INT((-(2*$K$4-$L$4)+SQRT((2*$K$4-$L$4)^2+8*$L$4*F40))/(2*$L$4))</x:f>
        <x:v>23</x:v>
      </x:c>
      <x:c r="G41" s="45" t="n">
        <x:f>INT((-(2*$K$4-$L$4)+SQRT((2*$K$4-$L$4)^2+8*$L$4*G40))/(2*$L$4))</x:f>
        <x:v>29</x:v>
      </x:c>
      <x:c r="H41" s="45" t="n">
        <x:f>INT((-(2*$K$4-$L$4)+SQRT((2*$K$4-$L$4)^2+8*$L$4*H40))/(2*$L$4))</x:f>
        <x:v>35</x:v>
      </x:c>
      <x:c r="I41" s="45" t="n">
        <x:f>INT((-(2*$K$4-$L$4)+SQRT((2*$K$4-$L$4)^2+8*$L$4*I40))/(2*$L$4))</x:f>
        <x:v>42</x:v>
      </x:c>
      <x:c r="J41" s="45" t="n">
        <x:f>INT((-(2*$K$4-$L$4)+SQRT((2*$K$4-$L$4)^2+8*$L$4*J40))/(2*$L$4))</x:f>
        <x:v>48</x:v>
      </x:c>
      <x:c r="K41" s="51" t="n">
        <x:f>INT((-(2*$K$4-$L$4)+SQRT((2*$K$4-$L$4)^2+8*$L$4*K40))/(2*$L$4))</x:f>
        <x:v>55</x:v>
      </x:c>
      <x:c r="L41" s="45" t="n">
        <x:f>INT((-(2*$K$4-$L$4)+SQRT((2*$K$4-$L$4)^2+8*$L$4*L40))/(2*$L$4))</x:f>
        <x:v>67</x:v>
      </x:c>
      <x:c r="M41" s="45" t="n">
        <x:f>INT((-(2*$K$4-$L$4)+SQRT((2*$K$4-$L$4)^2+8*$L$4*M40))/(2*$L$4))</x:f>
        <x:v>80</x:v>
      </x:c>
      <x:c r="N41" s="45" t="n">
        <x:f>INT((-(2*$K$4-$L$4)+SQRT((2*$K$4-$L$4)^2+8*$L$4*N40))/(2*$L$4))</x:f>
        <x:v>91</x:v>
      </x:c>
      <x:c r="O41" s="45" t="n">
        <x:f>INT((-(2*$K$4-$L$4)+SQRT((2*$K$4-$L$4)^2+8*$L$4*O40))/(2*$L$4))</x:f>
        <x:v>103</x:v>
      </x:c>
      <x:c r="P41" s="48" t="n">
        <x:f>INT((-(2*$K$4-$L$4)+SQRT((2*$K$4-$L$4)^2+8*$L$4*P40))/(2*$L$4))</x:f>
        <x:v>119</x:v>
      </x:c>
      <x:c r="Q41" s="45" t="n">
        <x:f>INT((-(2*$K$4-$L$4)+SQRT((2*$K$4-$L$4)^2+8*$L$4*Q40))/(2*$L$4))</x:f>
        <x:v>130</x:v>
      </x:c>
      <x:c r="R41" s="45" t="n">
        <x:f>INT((-(2*$K$4-$L$4)+SQRT((2*$K$4-$L$4)^2+8*$L$4*R40))/(2*$L$4))</x:f>
        <x:v>141</x:v>
      </x:c>
      <x:c r="S41" s="45" t="n">
        <x:f>INT((-(2*$K$4-$L$4)+SQRT((2*$K$4-$L$4)^2+8*$L$4*S40))/(2*$L$4))</x:f>
        <x:v>151</x:v>
      </x:c>
      <x:c r="T41" s="45" t="n">
        <x:f>INT((-(2*$K$4-$L$4)+SQRT((2*$K$4-$L$4)^2+8*$L$4*T40))/(2*$L$4))</x:f>
        <x:v>162</x:v>
      </x:c>
      <x:c r="U41" s="51" t="n">
        <x:f>INT((-(2*$K$4-$L$4)+SQRT((2*$K$4-$L$4)^2+8*$L$4*U40))/(2*$L$4))</x:f>
        <x:v>172</x:v>
      </x:c>
      <x:c r="V41" s="45" t="n">
        <x:f>INT((-(2*$K$4-$L$4)+SQRT((2*$K$4-$L$4)^2+8*$L$4*V40))/(2*$L$4))</x:f>
        <x:v>187</x:v>
      </x:c>
      <x:c r="W41" s="45" t="n">
        <x:f>INT((-(2*$K$4-$L$4)+SQRT((2*$K$4-$L$4)^2+8*$L$4*W40))/(2*$L$4))</x:f>
        <x:v>202</x:v>
      </x:c>
      <x:c r="X41" s="45" t="n">
        <x:f>INT((-(2*$K$4-$L$4)+SQRT((2*$K$4-$L$4)^2+8*$L$4*X40))/(2*$L$4))</x:f>
        <x:v>217</x:v>
      </x:c>
      <x:c r="Y41" s="45" t="n">
        <x:f>INT((-(2*$K$4-$L$4)+SQRT((2*$K$4-$L$4)^2+8*$L$4*Y40))/(2*$L$4))</x:f>
        <x:v>232</x:v>
      </x:c>
      <x:c r="Z41" s="48" t="n">
        <x:f>INT((-(2*$K$4-$L$4)+SQRT((2*$K$4-$L$4)^2+8*$L$4*Z40))/(2*$L$4))</x:f>
        <x:v>253</x:v>
      </x:c>
      <x:c r="AA41" s="45" t="n">
        <x:f>INT((-(2*$K$4-$L$4)+SQRT((2*$K$4-$L$4)^2+8*$L$4*AA40))/(2*$L$4))</x:f>
        <x:v>266</x:v>
      </x:c>
      <x:c r="AB41" s="45" t="n">
        <x:f>INT((-(2*$K$4-$L$4)+SQRT((2*$K$4-$L$4)^2+8*$L$4*AB40))/(2*$L$4))</x:f>
        <x:v>280</x:v>
      </x:c>
      <x:c r="AC41" s="45" t="n">
        <x:f>INT((-(2*$K$4-$L$4)+SQRT((2*$K$4-$L$4)^2+8*$L$4*AC40))/(2*$L$4))</x:f>
        <x:v>293</x:v>
      </x:c>
      <x:c r="AD41" s="45" t="n">
        <x:f>INT((-(2*$K$4-$L$4)+SQRT((2*$K$4-$L$4)^2+8*$L$4*AD40))/(2*$L$4))</x:f>
        <x:v>307</x:v>
      </x:c>
      <x:c r="AE41" s="51" t="n">
        <x:f>INT((-(2*$K$4-$L$4)+SQRT((2*$K$4-$L$4)^2+8*$L$4*AE40))/(2*$L$4))</x:f>
        <x:v>320</x:v>
      </x:c>
      <x:c r="AF41" s="45" t="n">
        <x:f>INT((-(2*$K$4-$L$4)+SQRT((2*$K$4-$L$4)^2+8*$L$4*AF40))/(2*$L$4))</x:f>
        <x:v>338</x:v>
      </x:c>
      <x:c r="AG41" s="45" t="n">
        <x:f>INT((-(2*$K$4-$L$4)+SQRT((2*$K$4-$L$4)^2+8*$L$4*AG40))/(2*$L$4))</x:f>
        <x:v>355</x:v>
      </x:c>
      <x:c r="AH41" s="45" t="n">
        <x:f>INT((-(2*$K$4-$L$4)+SQRT((2*$K$4-$L$4)^2+8*$L$4*AH40))/(2*$L$4))</x:f>
        <x:v>372</x:v>
      </x:c>
      <x:c r="AI41" s="45" t="n">
        <x:f>INT((-(2*$K$4-$L$4)+SQRT((2*$K$4-$L$4)^2+8*$L$4*AI40))/(2*$L$4))</x:f>
        <x:v>389</x:v>
      </x:c>
      <x:c r="AJ41" s="48" t="n">
        <x:f>INT((-(2*$K$4-$L$4)+SQRT((2*$K$4-$L$4)^2+8*$L$4*AJ40))/(2*$L$4))</x:f>
        <x:v>413</x:v>
      </x:c>
      <x:c r="AK41" s="45" t="n">
        <x:f>INT((-(2*$K$4-$L$4)+SQRT((2*$K$4-$L$4)^2+8*$L$4*AK40))/(2*$L$4))</x:f>
        <x:v>429</x:v>
      </x:c>
      <x:c r="AL41" s="45" t="n">
        <x:f>INT((-(2*$K$4-$L$4)+SQRT((2*$K$4-$L$4)^2+8*$L$4*AL40))/(2*$L$4))</x:f>
        <x:v>445</x:v>
      </x:c>
      <x:c r="AM41" s="45" t="n">
        <x:f>INT((-(2*$K$4-$L$4)+SQRT((2*$K$4-$L$4)^2+8*$L$4*AM40))/(2*$L$4))</x:f>
        <x:v>461</x:v>
      </x:c>
      <x:c r="AN41" s="45" t="n">
        <x:f>INT((-(2*$K$4-$L$4)+SQRT((2*$K$4-$L$4)^2+8*$L$4*AN40))/(2*$L$4))</x:f>
        <x:v>477</x:v>
      </x:c>
      <x:c r="AO41" s="51" t="n">
        <x:f>INT((-(2*$K$4-$L$4)+SQRT((2*$K$4-$L$4)^2+8*$L$4*AO40))/(2*$L$4))</x:f>
        <x:v>493</x:v>
      </x:c>
    </x:row>
    <x:row r="42">
      <x:c r="A42" s="42" t="str">
        <x:v>최대 설치 후 잔여 골드</x:v>
      </x:c>
      <x:c r="B42" s="45" t="n">
        <x:f>B40-B41*(2*$K$4+(B41-1)*$L$4)/2</x:f>
        <x:v>50</x:v>
      </x:c>
      <x:c r="C42" s="45" t="n">
        <x:f>C40-C41*(2*$K$4+(C41-1)*$L$4)/2</x:f>
        <x:v>30</x:v>
      </x:c>
      <x:c r="D42" s="45" t="n">
        <x:f>D40-D41*(2*$K$4+(D41-1)*$L$4)/2</x:f>
        <x:v>10</x:v>
      </x:c>
      <x:c r="E42" s="45" t="n">
        <x:f>E40-E41*(2*$K$4+(E41-1)*$L$4)/2</x:f>
        <x:v>40</x:v>
      </x:c>
      <x:c r="F42" s="48" t="n">
        <x:f>F40-F41*(2*$K$4+(F41-1)*$L$4)/2</x:f>
        <x:v>94</x:v>
      </x:c>
      <x:c r="G42" s="45" t="n">
        <x:f>G40-G41*(2*$K$4+(G41-1)*$L$4)/2</x:f>
        <x:v>88</x:v>
      </x:c>
      <x:c r="H42" s="45" t="n">
        <x:f>H40-H41*(2*$K$4+(H41-1)*$L$4)/2</x:f>
        <x:v>110</x:v>
      </x:c>
      <x:c r="I42" s="45" t="n">
        <x:f>I40-I41*(2*$K$4+(I41-1)*$L$4)/2</x:f>
        <x:v>28</x:v>
      </x:c>
      <x:c r="J42" s="45" t="n">
        <x:f>J40-J41*(2*$K$4+(J41-1)*$L$4)/2</x:f>
        <x:v>94</x:v>
      </x:c>
      <x:c r="K42" s="51" t="n">
        <x:f>K40-K41*(2*$K$4+(K41-1)*$L$4)/2</x:f>
        <x:v>30</x:v>
      </x:c>
      <x:c r="L42" s="45" t="n">
        <x:f>L40-L41*(2*$K$4+(L41-1)*$L$4)/2</x:f>
        <x:v>178</x:v>
      </x:c>
      <x:c r="M42" s="45" t="n">
        <x:f>M40-M41*(2*$K$4+(M41-1)*$L$4)/2</x:f>
        <x:v>30</x:v>
      </x:c>
      <x:c r="N42" s="45" t="n">
        <x:f>N40-N41*(2*$K$4+(N41-1)*$L$4)/2</x:f>
        <x:v>210</x:v>
      </x:c>
      <x:c r="O42" s="45" t="n">
        <x:f>O40-O41*(2*$K$4+(O41-1)*$L$4)/2</x:f>
        <x:v>94</x:v>
      </x:c>
      <x:c r="P42" s="48" t="n">
        <x:f>P40-P41*(2*$K$4+(P41-1)*$L$4)/2</x:f>
        <x:v>258</x:v>
      </x:c>
      <x:c r="Q42" s="45" t="n">
        <x:f>Q40-Q41*(2*$K$4+(Q41-1)*$L$4)/2</x:f>
        <x:v>180</x:v>
      </x:c>
      <x:c r="R42" s="45" t="n">
        <x:f>R40-R41*(2*$K$4+(R41-1)*$L$4)/2</x:f>
        <x:v>60</x:v>
      </x:c>
      <x:c r="S42" s="45" t="n">
        <x:f>S40-S41*(2*$K$4+(S41-1)*$L$4)/2</x:f>
        <x:v>250</x:v>
      </x:c>
      <x:c r="T42" s="45" t="n">
        <x:f>T40-T41*(2*$K$4+(T41-1)*$L$4)/2</x:f>
        <x:v>68</x:v>
      </x:c>
      <x:c r="U42" s="51" t="n">
        <x:f>U40-U41*(2*$K$4+(U41-1)*$L$4)/2</x:f>
        <x:v>238</x:v>
      </x:c>
      <x:c r="V42" s="45" t="n">
        <x:f>V40-V41*(2*$K$4+(V41-1)*$L$4)/2</x:f>
        <x:v>418</x:v>
      </x:c>
      <x:c r="W42" s="45" t="n">
        <x:f>W40-W41*(2*$K$4+(W41-1)*$L$4)/2</x:f>
        <x:v>448</x:v>
      </x:c>
      <x:c r="X42" s="45" t="n">
        <x:f>X40-X41*(2*$K$4+(X41-1)*$L$4)/2</x:f>
        <x:v>328</x:v>
      </x:c>
      <x:c r="Y42" s="45" t="n">
        <x:f>Y40-Y41*(2*$K$4+(Y41-1)*$L$4)/2</x:f>
        <x:v>58</x:v>
      </x:c>
      <x:c r="Z42" s="48" t="n">
        <x:f>Z40-Z41*(2*$K$4+(Z41-1)*$L$4)/2</x:f>
        <x:v>94</x:v>
      </x:c>
      <x:c r="AA42" s="45" t="n">
        <x:f>AA40-AA41*(2*$K$4+(AA41-1)*$L$4)/2</x:f>
        <x:v>510</x:v>
      </x:c>
      <x:c r="AB42" s="45" t="n">
        <x:f>AB40-AB41*(2*$K$4+(AB41-1)*$L$4)/2</x:f>
        <x:v>280</x:v>
      </x:c>
      <x:c r="AC42" s="45" t="n">
        <x:f>AC40-AC41*(2*$K$4+(AC41-1)*$L$4)/2</x:f>
        <x:v>594</x:v>
      </x:c>
      <x:c r="AD42" s="45" t="n">
        <x:f>AD40-AD41*(2*$K$4+(AD41-1)*$L$4)/2</x:f>
        <x:v>208</x:v>
      </x:c>
      <x:c r="AE42" s="51" t="n">
        <x:f>AE40-AE41*(2*$K$4+(AE41-1)*$L$4)/2</x:f>
        <x:v>420</x:v>
      </x:c>
      <x:c r="AF42" s="45" t="n">
        <x:f>AF40-AF41*(2*$K$4+(AF41-1)*$L$4)/2</x:f>
        <x:v>94</x:v>
      </x:c>
      <x:c r="AG42" s="45" t="n">
        <x:f>AG40-AG41*(2*$K$4+(AG41-1)*$L$4)/2</x:f>
        <x:v>280</x:v>
      </x:c>
      <x:c r="AH42" s="45" t="n">
        <x:f>AH40-AH41*(2*$K$4+(AH41-1)*$L$4)/2</x:f>
        <x:v>288</x:v>
      </x:c>
      <x:c r="AI42" s="45" t="n">
        <x:f>AI40-AI41*(2*$K$4+(AI41-1)*$L$4)/2</x:f>
        <x:v>118</x:v>
      </x:c>
      <x:c r="AJ42" s="48" t="n">
        <x:f>AJ40-AJ41*(2*$K$4+(AJ41-1)*$L$4)/2</x:f>
        <x:v>694</x:v>
      </x:c>
      <x:c r="AK42" s="45" t="n">
        <x:f>AK40-AK41*(2*$K$4+(AK41-1)*$L$4)/2</x:f>
        <x:v>838</x:v>
      </x:c>
      <x:c r="AL42" s="45" t="n">
        <x:f>AL40-AL41*(2*$K$4+(AL41-1)*$L$4)/2</x:f>
        <x:v>870</x:v>
      </x:c>
      <x:c r="AM42" s="45" t="n">
        <x:f>AM40-AM41*(2*$K$4+(AM41-1)*$L$4)/2</x:f>
        <x:v>790</x:v>
      </x:c>
      <x:c r="AN42" s="45" t="n">
        <x:f>AN40-AN41*(2*$K$4+(AN41-1)*$L$4)/2</x:f>
        <x:v>598</x:v>
      </x:c>
      <x:c r="AO42" s="51" t="n">
        <x:f>AO40-AO41*(2*$K$4+(AO41-1)*$L$4)/2</x:f>
        <x:v>294</x:v>
      </x:c>
    </x:row>
    <x:row r="61" ht="27.950000762939453" customHeight="1"/>
    <x:row r="62" ht="27.950000762939453" customHeight="1"/>
    <x:row r="63" ht="27.950000762939453" customHeight="1"/>
    <x:row r="64" ht="27.950000762939453" customHeight="1"/>
    <x:row r="65" ht="27.950000762939453" customHeight="1"/>
    <x:row r="66" ht="27.950000762939453" customHeight="1"/>
    <x:row r="67" ht="27.950000762939453" customHeight="1"/>
    <x:row r="68" ht="27.950000762939453" customHeight="1"/>
    <x:row r="69" ht="27.950000762939453" customHeight="1"/>
    <x:row r="70" ht="27.950000762939453" customHeight="1"/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</x:sheetData>
  <x:mergeCells>
    <x:mergeCell ref="A1:O1"/>
    <x:mergeCell ref="A72:O73"/>
    <x:mergeCell ref="A23:H23"/>
    <x:mergeCell ref="A1:AO1"/>
  </x:mergeCells>
  <x:pageMargins left="0.7" right="0.7" top="0.75" bottom="0.75" header="0.3" footer="0.3"/>
</x:worksheet>
</file>