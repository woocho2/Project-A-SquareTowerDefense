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 0706\Assets\12. DataCSV\"/>
    </mc:Choice>
  </mc:AlternateContent>
  <xr:revisionPtr revIDLastSave="0" documentId="13_ncr:1_{8E90C2A2-604B-4695-BF24-D9B3942CE312}" xr6:coauthVersionLast="47" xr6:coauthVersionMax="47" xr10:uidLastSave="{00000000-0000-0000-0000-000000000000}"/>
  <bookViews>
    <workbookView xWindow="960" yWindow="375" windowWidth="20190" windowHeight="14775" xr2:uid="{187902E8-9A99-4083-ADF2-E49B077F7188}"/>
  </bookViews>
  <sheets>
    <sheet name="ProjectileData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9" i="1" l="1"/>
  <c r="D188" i="1"/>
  <c r="B188" i="1"/>
  <c r="B187" i="1"/>
  <c r="D186" i="1"/>
  <c r="B186" i="1"/>
  <c r="B185" i="1"/>
  <c r="D184" i="1"/>
  <c r="B184" i="1"/>
  <c r="B183" i="1"/>
  <c r="D182" i="1"/>
  <c r="B182" i="1"/>
  <c r="A182" i="1"/>
  <c r="E182" i="1" s="1"/>
  <c r="B181" i="1"/>
  <c r="D180" i="1"/>
  <c r="B180" i="1"/>
  <c r="B179" i="1"/>
  <c r="D178" i="1"/>
  <c r="B178" i="1"/>
  <c r="A178" i="1"/>
  <c r="E178" i="1" s="1"/>
  <c r="B177" i="1"/>
  <c r="D176" i="1"/>
  <c r="B176" i="1"/>
  <c r="B175" i="1"/>
  <c r="A175" i="1"/>
  <c r="E175" i="1" s="1"/>
  <c r="D174" i="1"/>
  <c r="B174" i="1"/>
  <c r="A174" i="1"/>
  <c r="E174" i="1" s="1"/>
  <c r="A173" i="1"/>
  <c r="A177" i="1" s="1"/>
  <c r="A172" i="1"/>
  <c r="E172" i="1" s="1"/>
  <c r="A171" i="1"/>
  <c r="E171" i="1" s="1"/>
  <c r="E170" i="1"/>
  <c r="B168" i="1"/>
  <c r="D167" i="1"/>
  <c r="B167" i="1"/>
  <c r="B166" i="1"/>
  <c r="D165" i="1"/>
  <c r="B165" i="1"/>
  <c r="B164" i="1"/>
  <c r="D163" i="1"/>
  <c r="B163" i="1"/>
  <c r="B162" i="1"/>
  <c r="D161" i="1"/>
  <c r="B161" i="1"/>
  <c r="B160" i="1"/>
  <c r="D159" i="1"/>
  <c r="B159" i="1"/>
  <c r="B158" i="1"/>
  <c r="D157" i="1"/>
  <c r="B157" i="1"/>
  <c r="B156" i="1"/>
  <c r="D155" i="1"/>
  <c r="B155" i="1"/>
  <c r="B154" i="1"/>
  <c r="E153" i="1"/>
  <c r="D153" i="1"/>
  <c r="B153" i="1"/>
  <c r="A153" i="1"/>
  <c r="A157" i="1" s="1"/>
  <c r="A152" i="1"/>
  <c r="A156" i="1" s="1"/>
  <c r="E156" i="1" s="1"/>
  <c r="A151" i="1"/>
  <c r="E151" i="1" s="1"/>
  <c r="A150" i="1"/>
  <c r="A154" i="1" s="1"/>
  <c r="A158" i="1" s="1"/>
  <c r="E149" i="1"/>
  <c r="B147" i="1"/>
  <c r="D146" i="1"/>
  <c r="B146" i="1"/>
  <c r="B145" i="1"/>
  <c r="D144" i="1"/>
  <c r="B144" i="1"/>
  <c r="B143" i="1"/>
  <c r="D142" i="1"/>
  <c r="B142" i="1"/>
  <c r="B141" i="1"/>
  <c r="D140" i="1"/>
  <c r="B140" i="1"/>
  <c r="B139" i="1"/>
  <c r="D138" i="1"/>
  <c r="B138" i="1"/>
  <c r="B137" i="1"/>
  <c r="D136" i="1"/>
  <c r="B136" i="1"/>
  <c r="A136" i="1"/>
  <c r="E136" i="1" s="1"/>
  <c r="B135" i="1"/>
  <c r="D134" i="1"/>
  <c r="B134" i="1"/>
  <c r="B133" i="1"/>
  <c r="E132" i="1"/>
  <c r="D132" i="1"/>
  <c r="B132" i="1"/>
  <c r="A132" i="1"/>
  <c r="A131" i="1"/>
  <c r="E131" i="1" s="1"/>
  <c r="A130" i="1"/>
  <c r="A134" i="1" s="1"/>
  <c r="A129" i="1"/>
  <c r="A133" i="1" s="1"/>
  <c r="E128" i="1"/>
  <c r="B126" i="1"/>
  <c r="D125" i="1"/>
  <c r="B125" i="1"/>
  <c r="B124" i="1"/>
  <c r="D123" i="1"/>
  <c r="B123" i="1"/>
  <c r="B122" i="1"/>
  <c r="D121" i="1"/>
  <c r="B121" i="1"/>
  <c r="B120" i="1"/>
  <c r="D119" i="1"/>
  <c r="B119" i="1"/>
  <c r="B118" i="1"/>
  <c r="D117" i="1"/>
  <c r="B117" i="1"/>
  <c r="B116" i="1"/>
  <c r="D115" i="1"/>
  <c r="B115" i="1"/>
  <c r="A115" i="1"/>
  <c r="A119" i="1" s="1"/>
  <c r="E119" i="1" s="1"/>
  <c r="B114" i="1"/>
  <c r="A114" i="1"/>
  <c r="E114" i="1" s="1"/>
  <c r="D113" i="1"/>
  <c r="B113" i="1"/>
  <c r="B112" i="1"/>
  <c r="D111" i="1"/>
  <c r="B111" i="1"/>
  <c r="A111" i="1"/>
  <c r="E111" i="1" s="1"/>
  <c r="A110" i="1"/>
  <c r="E110" i="1" s="1"/>
  <c r="A109" i="1"/>
  <c r="A113" i="1" s="1"/>
  <c r="A108" i="1"/>
  <c r="E108" i="1" s="1"/>
  <c r="E107" i="1"/>
  <c r="B105" i="1"/>
  <c r="D104" i="1"/>
  <c r="B104" i="1"/>
  <c r="B103" i="1"/>
  <c r="D102" i="1"/>
  <c r="B102" i="1"/>
  <c r="B101" i="1"/>
  <c r="D100" i="1"/>
  <c r="B100" i="1"/>
  <c r="B99" i="1"/>
  <c r="D98" i="1"/>
  <c r="B98" i="1"/>
  <c r="B97" i="1"/>
  <c r="D96" i="1"/>
  <c r="B96" i="1"/>
  <c r="B95" i="1"/>
  <c r="D94" i="1"/>
  <c r="B94" i="1"/>
  <c r="B93" i="1"/>
  <c r="D92" i="1"/>
  <c r="B92" i="1"/>
  <c r="B91" i="1"/>
  <c r="D90" i="1"/>
  <c r="B90" i="1"/>
  <c r="A90" i="1"/>
  <c r="E90" i="1" s="1"/>
  <c r="A89" i="1"/>
  <c r="A93" i="1" s="1"/>
  <c r="A88" i="1"/>
  <c r="A92" i="1" s="1"/>
  <c r="A87" i="1"/>
  <c r="E87" i="1" s="1"/>
  <c r="E86" i="1"/>
  <c r="B84" i="1"/>
  <c r="D83" i="1"/>
  <c r="B83" i="1"/>
  <c r="B82" i="1"/>
  <c r="D81" i="1"/>
  <c r="B81" i="1"/>
  <c r="B80" i="1"/>
  <c r="D79" i="1"/>
  <c r="B79" i="1"/>
  <c r="B78" i="1"/>
  <c r="D77" i="1"/>
  <c r="B77" i="1"/>
  <c r="B76" i="1"/>
  <c r="D75" i="1"/>
  <c r="B75" i="1"/>
  <c r="B74" i="1"/>
  <c r="D73" i="1"/>
  <c r="B73" i="1"/>
  <c r="B72" i="1"/>
  <c r="D71" i="1"/>
  <c r="B71" i="1"/>
  <c r="B70" i="1"/>
  <c r="D69" i="1"/>
  <c r="B69" i="1"/>
  <c r="A69" i="1"/>
  <c r="A73" i="1" s="1"/>
  <c r="A77" i="1" s="1"/>
  <c r="A68" i="1"/>
  <c r="E68" i="1" s="1"/>
  <c r="A67" i="1"/>
  <c r="E67" i="1" s="1"/>
  <c r="A66" i="1"/>
  <c r="E66" i="1" s="1"/>
  <c r="E65" i="1"/>
  <c r="B63" i="1"/>
  <c r="D62" i="1"/>
  <c r="B62" i="1"/>
  <c r="B61" i="1"/>
  <c r="D60" i="1"/>
  <c r="B60" i="1"/>
  <c r="B59" i="1"/>
  <c r="D58" i="1"/>
  <c r="B58" i="1"/>
  <c r="B57" i="1"/>
  <c r="D56" i="1"/>
  <c r="B56" i="1"/>
  <c r="B55" i="1"/>
  <c r="D54" i="1"/>
  <c r="B54" i="1"/>
  <c r="B53" i="1"/>
  <c r="D52" i="1"/>
  <c r="B52" i="1"/>
  <c r="B51" i="1"/>
  <c r="D50" i="1"/>
  <c r="B50" i="1"/>
  <c r="B49" i="1"/>
  <c r="D48" i="1"/>
  <c r="B48" i="1"/>
  <c r="A48" i="1"/>
  <c r="E48" i="1" s="1"/>
  <c r="A47" i="1"/>
  <c r="E47" i="1" s="1"/>
  <c r="A46" i="1"/>
  <c r="A50" i="1" s="1"/>
  <c r="E50" i="1" s="1"/>
  <c r="A45" i="1"/>
  <c r="E45" i="1" s="1"/>
  <c r="E44" i="1"/>
  <c r="A27" i="1"/>
  <c r="E27" i="1" s="1"/>
  <c r="A26" i="1"/>
  <c r="E26" i="1" s="1"/>
  <c r="A25" i="1"/>
  <c r="A29" i="1" s="1"/>
  <c r="A24" i="1"/>
  <c r="E24" i="1" s="1"/>
  <c r="A6" i="1"/>
  <c r="E6" i="1" s="1"/>
  <c r="A5" i="1"/>
  <c r="E5" i="1" s="1"/>
  <c r="A4" i="1"/>
  <c r="A8" i="1" s="1"/>
  <c r="A3" i="1"/>
  <c r="E3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1" i="1"/>
  <c r="B17" i="1"/>
  <c r="B13" i="1"/>
  <c r="B9" i="1"/>
  <c r="B20" i="1"/>
  <c r="B16" i="1"/>
  <c r="B12" i="1"/>
  <c r="B8" i="1"/>
  <c r="B19" i="1"/>
  <c r="B15" i="1"/>
  <c r="B11" i="1"/>
  <c r="B7" i="1"/>
  <c r="B18" i="1"/>
  <c r="B14" i="1"/>
  <c r="B10" i="1"/>
  <c r="B6" i="1"/>
  <c r="E23" i="1"/>
  <c r="E2" i="1"/>
  <c r="D41" i="1"/>
  <c r="D39" i="1"/>
  <c r="D37" i="1"/>
  <c r="D35" i="1"/>
  <c r="D33" i="1"/>
  <c r="D31" i="1"/>
  <c r="D29" i="1"/>
  <c r="D27" i="1"/>
  <c r="D20" i="1"/>
  <c r="D18" i="1"/>
  <c r="D14" i="1"/>
  <c r="D16" i="1"/>
  <c r="D12" i="1"/>
  <c r="D10" i="1"/>
  <c r="D8" i="1"/>
  <c r="D6" i="1"/>
  <c r="E177" i="1" l="1"/>
  <c r="A181" i="1"/>
  <c r="E173" i="1"/>
  <c r="A176" i="1"/>
  <c r="A180" i="1" s="1"/>
  <c r="E150" i="1"/>
  <c r="E152" i="1"/>
  <c r="A184" i="1"/>
  <c r="E180" i="1"/>
  <c r="E176" i="1"/>
  <c r="A186" i="1"/>
  <c r="E186" i="1" s="1"/>
  <c r="A179" i="1"/>
  <c r="E157" i="1"/>
  <c r="A161" i="1"/>
  <c r="A162" i="1"/>
  <c r="E158" i="1"/>
  <c r="E154" i="1"/>
  <c r="A155" i="1"/>
  <c r="A160" i="1"/>
  <c r="E134" i="1"/>
  <c r="A138" i="1"/>
  <c r="A142" i="1" s="1"/>
  <c r="A146" i="1" s="1"/>
  <c r="E146" i="1" s="1"/>
  <c r="E129" i="1"/>
  <c r="E130" i="1"/>
  <c r="A135" i="1"/>
  <c r="A112" i="1"/>
  <c r="E115" i="1"/>
  <c r="A137" i="1"/>
  <c r="E133" i="1"/>
  <c r="A140" i="1"/>
  <c r="A117" i="1"/>
  <c r="E113" i="1"/>
  <c r="A118" i="1"/>
  <c r="A123" i="1"/>
  <c r="E123" i="1" s="1"/>
  <c r="E109" i="1"/>
  <c r="E69" i="1"/>
  <c r="A94" i="1"/>
  <c r="E94" i="1" s="1"/>
  <c r="A91" i="1"/>
  <c r="A95" i="1" s="1"/>
  <c r="A99" i="1" s="1"/>
  <c r="A70" i="1"/>
  <c r="A74" i="1" s="1"/>
  <c r="A78" i="1" s="1"/>
  <c r="A72" i="1"/>
  <c r="A71" i="1"/>
  <c r="E46" i="1"/>
  <c r="A49" i="1"/>
  <c r="A53" i="1" s="1"/>
  <c r="A57" i="1" s="1"/>
  <c r="E95" i="1"/>
  <c r="A97" i="1"/>
  <c r="E93" i="1"/>
  <c r="A96" i="1"/>
  <c r="E92" i="1"/>
  <c r="E88" i="1"/>
  <c r="E89" i="1"/>
  <c r="E77" i="1"/>
  <c r="A81" i="1"/>
  <c r="E81" i="1" s="1"/>
  <c r="E73" i="1"/>
  <c r="A51" i="1"/>
  <c r="A54" i="1"/>
  <c r="A52" i="1"/>
  <c r="A33" i="1"/>
  <c r="E29" i="1"/>
  <c r="A28" i="1"/>
  <c r="A30" i="1"/>
  <c r="A31" i="1"/>
  <c r="E25" i="1"/>
  <c r="A9" i="1"/>
  <c r="E9" i="1" s="1"/>
  <c r="E4" i="1"/>
  <c r="A10" i="1"/>
  <c r="A12" i="1"/>
  <c r="E8" i="1"/>
  <c r="A7" i="1"/>
  <c r="E181" i="1" l="1"/>
  <c r="A185" i="1"/>
  <c r="E184" i="1"/>
  <c r="A188" i="1"/>
  <c r="E188" i="1" s="1"/>
  <c r="E179" i="1"/>
  <c r="A183" i="1"/>
  <c r="A159" i="1"/>
  <c r="E155" i="1"/>
  <c r="E160" i="1"/>
  <c r="A164" i="1"/>
  <c r="E162" i="1"/>
  <c r="A166" i="1"/>
  <c r="E166" i="1" s="1"/>
  <c r="E161" i="1"/>
  <c r="A165" i="1"/>
  <c r="E165" i="1" s="1"/>
  <c r="E142" i="1"/>
  <c r="E138" i="1"/>
  <c r="E135" i="1"/>
  <c r="A139" i="1"/>
  <c r="E112" i="1"/>
  <c r="A116" i="1"/>
  <c r="E140" i="1"/>
  <c r="A144" i="1"/>
  <c r="E144" i="1" s="1"/>
  <c r="E137" i="1"/>
  <c r="A141" i="1"/>
  <c r="A122" i="1"/>
  <c r="E118" i="1"/>
  <c r="A121" i="1"/>
  <c r="E117" i="1"/>
  <c r="A13" i="1"/>
  <c r="E74" i="1"/>
  <c r="E91" i="1"/>
  <c r="A98" i="1"/>
  <c r="E71" i="1"/>
  <c r="A75" i="1"/>
  <c r="E70" i="1"/>
  <c r="A76" i="1"/>
  <c r="E72" i="1"/>
  <c r="E49" i="1"/>
  <c r="E53" i="1"/>
  <c r="E98" i="1"/>
  <c r="A102" i="1"/>
  <c r="E102" i="1" s="1"/>
  <c r="A101" i="1"/>
  <c r="E97" i="1"/>
  <c r="A100" i="1"/>
  <c r="E96" i="1"/>
  <c r="A103" i="1"/>
  <c r="E103" i="1" s="1"/>
  <c r="E99" i="1"/>
  <c r="A82" i="1"/>
  <c r="E82" i="1" s="1"/>
  <c r="E78" i="1"/>
  <c r="E54" i="1"/>
  <c r="A58" i="1"/>
  <c r="E52" i="1"/>
  <c r="A56" i="1"/>
  <c r="E51" i="1"/>
  <c r="A55" i="1"/>
  <c r="A61" i="1"/>
  <c r="E61" i="1" s="1"/>
  <c r="E57" i="1"/>
  <c r="A32" i="1"/>
  <c r="E28" i="1"/>
  <c r="E31" i="1"/>
  <c r="A35" i="1"/>
  <c r="A34" i="1"/>
  <c r="E30" i="1"/>
  <c r="A37" i="1"/>
  <c r="E33" i="1"/>
  <c r="A14" i="1"/>
  <c r="E10" i="1"/>
  <c r="A17" i="1"/>
  <c r="E13" i="1"/>
  <c r="E7" i="1"/>
  <c r="A11" i="1"/>
  <c r="A16" i="1"/>
  <c r="E12" i="1"/>
  <c r="A189" i="1" l="1"/>
  <c r="E189" i="1" s="1"/>
  <c r="E185" i="1"/>
  <c r="E183" i="1"/>
  <c r="A187" i="1"/>
  <c r="E187" i="1" s="1"/>
  <c r="A163" i="1"/>
  <c r="E159" i="1"/>
  <c r="E164" i="1"/>
  <c r="A168" i="1"/>
  <c r="E168" i="1" s="1"/>
  <c r="E139" i="1"/>
  <c r="A143" i="1"/>
  <c r="A120" i="1"/>
  <c r="E116" i="1"/>
  <c r="E141" i="1"/>
  <c r="A145" i="1"/>
  <c r="E145" i="1" s="1"/>
  <c r="E121" i="1"/>
  <c r="A125" i="1"/>
  <c r="E125" i="1" s="1"/>
  <c r="A126" i="1"/>
  <c r="E126" i="1" s="1"/>
  <c r="E122" i="1"/>
  <c r="A79" i="1"/>
  <c r="E75" i="1"/>
  <c r="E76" i="1"/>
  <c r="A80" i="1"/>
  <c r="A104" i="1"/>
  <c r="E104" i="1" s="1"/>
  <c r="E100" i="1"/>
  <c r="A105" i="1"/>
  <c r="E105" i="1" s="1"/>
  <c r="E101" i="1"/>
  <c r="E56" i="1"/>
  <c r="A60" i="1"/>
  <c r="E60" i="1" s="1"/>
  <c r="A62" i="1"/>
  <c r="E62" i="1" s="1"/>
  <c r="E58" i="1"/>
  <c r="A59" i="1"/>
  <c r="E55" i="1"/>
  <c r="E37" i="1"/>
  <c r="A41" i="1"/>
  <c r="E41" i="1" s="1"/>
  <c r="A38" i="1"/>
  <c r="E34" i="1"/>
  <c r="A39" i="1"/>
  <c r="E39" i="1" s="1"/>
  <c r="E35" i="1"/>
  <c r="A36" i="1"/>
  <c r="E32" i="1"/>
  <c r="E14" i="1"/>
  <c r="A18" i="1"/>
  <c r="E18" i="1" s="1"/>
  <c r="E16" i="1"/>
  <c r="A20" i="1"/>
  <c r="E20" i="1" s="1"/>
  <c r="A15" i="1"/>
  <c r="E11" i="1"/>
  <c r="A21" i="1"/>
  <c r="E21" i="1" s="1"/>
  <c r="E17" i="1"/>
  <c r="A167" i="1" l="1"/>
  <c r="E167" i="1" s="1"/>
  <c r="E163" i="1"/>
  <c r="E143" i="1"/>
  <c r="A147" i="1"/>
  <c r="E147" i="1" s="1"/>
  <c r="E120" i="1"/>
  <c r="A124" i="1"/>
  <c r="E124" i="1" s="1"/>
  <c r="A83" i="1"/>
  <c r="E83" i="1" s="1"/>
  <c r="E79" i="1"/>
  <c r="A84" i="1"/>
  <c r="E84" i="1" s="1"/>
  <c r="E80" i="1"/>
  <c r="A63" i="1"/>
  <c r="E63" i="1" s="1"/>
  <c r="E59" i="1"/>
  <c r="A40" i="1"/>
  <c r="E40" i="1" s="1"/>
  <c r="E36" i="1"/>
  <c r="A42" i="1"/>
  <c r="E42" i="1" s="1"/>
  <c r="E38" i="1"/>
  <c r="A19" i="1"/>
  <c r="E19" i="1" s="1"/>
  <c r="E15" i="1"/>
</calcChain>
</file>

<file path=xl/sharedStrings.xml><?xml version="1.0" encoding="utf-8"?>
<sst xmlns="http://schemas.openxmlformats.org/spreadsheetml/2006/main" count="41" uniqueCount="41">
  <si>
    <t>ID</t>
    <phoneticPr fontId="1" type="noConversion"/>
  </si>
  <si>
    <t>Name</t>
    <phoneticPr fontId="1" type="noConversion"/>
  </si>
  <si>
    <t>Speed</t>
    <phoneticPr fontId="1" type="noConversion"/>
  </si>
  <si>
    <t>SplashRadius</t>
    <phoneticPr fontId="1" type="noConversion"/>
  </si>
  <si>
    <t>HitEffectID</t>
    <phoneticPr fontId="1" type="noConversion"/>
  </si>
  <si>
    <t>Sword(SP)</t>
    <phoneticPr fontId="1" type="noConversion"/>
  </si>
  <si>
    <t>Sword(T)</t>
    <phoneticPr fontId="1" type="noConversion"/>
  </si>
  <si>
    <t>Sword(TR)</t>
    <phoneticPr fontId="1" type="noConversion"/>
  </si>
  <si>
    <t>Sword(B)</t>
    <phoneticPr fontId="1" type="noConversion"/>
  </si>
  <si>
    <t>Bow(SP)</t>
    <phoneticPr fontId="1" type="noConversion"/>
  </si>
  <si>
    <t>Bow(T)</t>
    <phoneticPr fontId="1" type="noConversion"/>
  </si>
  <si>
    <t>Bow(TR)</t>
    <phoneticPr fontId="1" type="noConversion"/>
  </si>
  <si>
    <t>Bow(B)</t>
    <phoneticPr fontId="1" type="noConversion"/>
  </si>
  <si>
    <t>Shield(SP)</t>
    <phoneticPr fontId="1" type="noConversion"/>
  </si>
  <si>
    <t>Shield(T)</t>
    <phoneticPr fontId="1" type="noConversion"/>
  </si>
  <si>
    <t>Shield(TR)</t>
    <phoneticPr fontId="1" type="noConversion"/>
  </si>
  <si>
    <t>Shield(B)</t>
    <phoneticPr fontId="1" type="noConversion"/>
  </si>
  <si>
    <t>Spear(SP)</t>
    <phoneticPr fontId="1" type="noConversion"/>
  </si>
  <si>
    <t>Spear(T)</t>
    <phoneticPr fontId="1" type="noConversion"/>
  </si>
  <si>
    <t>Spear(TR)</t>
    <phoneticPr fontId="1" type="noConversion"/>
  </si>
  <si>
    <t>Spear(B)</t>
    <phoneticPr fontId="1" type="noConversion"/>
  </si>
  <si>
    <t>Axe(SP)</t>
    <phoneticPr fontId="1" type="noConversion"/>
  </si>
  <si>
    <t>Axe(T)</t>
    <phoneticPr fontId="1" type="noConversion"/>
  </si>
  <si>
    <t>Axe(B)</t>
    <phoneticPr fontId="1" type="noConversion"/>
  </si>
  <si>
    <t>Axe(TR)</t>
    <phoneticPr fontId="1" type="noConversion"/>
  </si>
  <si>
    <t>Fire(SP)</t>
    <phoneticPr fontId="1" type="noConversion"/>
  </si>
  <si>
    <t>Fire(T)</t>
    <phoneticPr fontId="1" type="noConversion"/>
  </si>
  <si>
    <t>Fire(B)</t>
    <phoneticPr fontId="1" type="noConversion"/>
  </si>
  <si>
    <t>Fire(TR)</t>
    <phoneticPr fontId="1" type="noConversion"/>
  </si>
  <si>
    <t>Ice(SP)</t>
    <phoneticPr fontId="1" type="noConversion"/>
  </si>
  <si>
    <t>Ice(T)</t>
    <phoneticPr fontId="1" type="noConversion"/>
  </si>
  <si>
    <t>Ice(TR)</t>
    <phoneticPr fontId="1" type="noConversion"/>
  </si>
  <si>
    <t>Ice(B)</t>
    <phoneticPr fontId="1" type="noConversion"/>
  </si>
  <si>
    <t>Electricity(SP)</t>
    <phoneticPr fontId="1" type="noConversion"/>
  </si>
  <si>
    <t>Electricity(T)</t>
    <phoneticPr fontId="1" type="noConversion"/>
  </si>
  <si>
    <t>Electricity(TR)</t>
    <phoneticPr fontId="1" type="noConversion"/>
  </si>
  <si>
    <t>Electricity(B)</t>
    <phoneticPr fontId="1" type="noConversion"/>
  </si>
  <si>
    <t>Wind(SP)</t>
    <phoneticPr fontId="1" type="noConversion"/>
  </si>
  <si>
    <t>Wind(T)</t>
    <phoneticPr fontId="1" type="noConversion"/>
  </si>
  <si>
    <t>Wind(TR)</t>
    <phoneticPr fontId="1" type="noConversion"/>
  </si>
  <si>
    <t>Wind(B)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</si>
</sst>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560B-1A2F-4B40-96A0-D52B426D09E5}">
  <dimension ref="A1:E189"/>
  <sheetViews>
    <sheetView tabSelected="1" workbookViewId="0">
      <pane ySplit="1" topLeftCell="A173" activePane="bottomLeft" state="frozen"/>
      <selection pane="bottomLeft" activeCell="G175" sqref="G175"/>
    </sheetView>
  </sheetViews>
  <sheetFormatPr defaultRowHeight="11.25" x14ac:dyDescent="0.3"/>
  <cols>
    <col min="1" max="1" width="4.5" style="1" bestFit="1" customWidth="1"/>
    <col min="2" max="2" width="7.875" style="1" bestFit="1" customWidth="1"/>
    <col min="3" max="3" width="5.5" style="1" bestFit="1" customWidth="1"/>
    <col min="4" max="4" width="9.875" style="1" bestFit="1" customWidth="1"/>
    <col min="5" max="5" width="8.125" style="1" bestFit="1" customWidth="1"/>
    <col min="6" max="16384" width="9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1101</v>
      </c>
      <c r="B2" s="1" t="s">
        <v>5</v>
      </c>
      <c r="C2" s="1">
        <v>10</v>
      </c>
      <c r="D2" s="1">
        <v>2</v>
      </c>
      <c r="E2" s="1">
        <f>A2-1000</f>
        <v>101</v>
      </c>
    </row>
    <row r="3" spans="1:5" x14ac:dyDescent="0.3">
      <c r="A3" s="1">
        <f>A2+100</f>
        <v>1201</v>
      </c>
      <c r="B3" s="1" t="s">
        <v>6</v>
      </c>
      <c r="C3" s="1">
        <v>15</v>
      </c>
      <c r="D3" s="1">
        <v>0</v>
      </c>
      <c r="E3" s="1">
        <f t="shared" ref="E3:E5" si="0">A3-1000</f>
        <v>201</v>
      </c>
    </row>
    <row r="4" spans="1:5" x14ac:dyDescent="0.3">
      <c r="A4" s="1">
        <f>A2+200</f>
        <v>1301</v>
      </c>
      <c r="B4" s="1" t="s">
        <v>7</v>
      </c>
      <c r="C4" s="1">
        <v>1</v>
      </c>
      <c r="D4" s="1">
        <v>1.5</v>
      </c>
      <c r="E4" s="1">
        <f t="shared" si="0"/>
        <v>301</v>
      </c>
    </row>
    <row r="5" spans="1:5" x14ac:dyDescent="0.3">
      <c r="A5" s="1">
        <f>A2+300</f>
        <v>1401</v>
      </c>
      <c r="B5" s="1" t="s">
        <v>8</v>
      </c>
      <c r="C5" s="1">
        <v>1</v>
      </c>
      <c r="D5" s="1">
        <v>0</v>
      </c>
      <c r="E5" s="1">
        <f t="shared" si="0"/>
        <v>401</v>
      </c>
    </row>
    <row r="6" spans="1:5" x14ac:dyDescent="0.3">
      <c r="A6" s="1">
        <f>A2+1000</f>
        <v>2101</v>
      </c>
      <c r="B6" s="1" t="str">
        <f>B2</f>
        <v>Sword(SP)</v>
      </c>
      <c r="C6" s="1">
        <v>10</v>
      </c>
      <c r="D6" s="1">
        <f>D2</f>
        <v>2</v>
      </c>
      <c r="E6" s="1">
        <f>A6-2000</f>
        <v>101</v>
      </c>
    </row>
    <row r="7" spans="1:5" x14ac:dyDescent="0.3">
      <c r="A7" s="1">
        <f>A3+1000</f>
        <v>2201</v>
      </c>
      <c r="B7" s="1" t="str">
        <f>B3</f>
        <v>Sword(T)</v>
      </c>
      <c r="C7" s="1">
        <v>15</v>
      </c>
      <c r="D7" s="1">
        <v>0</v>
      </c>
      <c r="E7" s="1">
        <f t="shared" ref="E7:E9" si="1">A7-2000</f>
        <v>201</v>
      </c>
    </row>
    <row r="8" spans="1:5" x14ac:dyDescent="0.3">
      <c r="A8" s="1">
        <f t="shared" ref="A8:A21" si="2">A4+1000</f>
        <v>2301</v>
      </c>
      <c r="B8" s="1" t="str">
        <f>B4</f>
        <v>Sword(TR)</v>
      </c>
      <c r="C8" s="1">
        <v>1</v>
      </c>
      <c r="D8" s="1">
        <f>D4</f>
        <v>1.5</v>
      </c>
      <c r="E8" s="1">
        <f t="shared" si="1"/>
        <v>301</v>
      </c>
    </row>
    <row r="9" spans="1:5" x14ac:dyDescent="0.3">
      <c r="A9" s="1">
        <f t="shared" si="2"/>
        <v>2401</v>
      </c>
      <c r="B9" s="1" t="str">
        <f>B5</f>
        <v>Sword(B)</v>
      </c>
      <c r="C9" s="1">
        <v>1</v>
      </c>
      <c r="D9" s="1">
        <v>0</v>
      </c>
      <c r="E9" s="1">
        <f t="shared" si="1"/>
        <v>401</v>
      </c>
    </row>
    <row r="10" spans="1:5" x14ac:dyDescent="0.3">
      <c r="A10" s="1">
        <f t="shared" si="2"/>
        <v>3101</v>
      </c>
      <c r="B10" s="1" t="str">
        <f>B2</f>
        <v>Sword(SP)</v>
      </c>
      <c r="C10" s="1">
        <v>10</v>
      </c>
      <c r="D10" s="1">
        <f>D2*1.5</f>
        <v>3</v>
      </c>
      <c r="E10" s="1">
        <f>A10-3000</f>
        <v>101</v>
      </c>
    </row>
    <row r="11" spans="1:5" x14ac:dyDescent="0.3">
      <c r="A11" s="1">
        <f t="shared" si="2"/>
        <v>3201</v>
      </c>
      <c r="B11" s="1" t="str">
        <f>B3</f>
        <v>Sword(T)</v>
      </c>
      <c r="C11" s="1">
        <v>15</v>
      </c>
      <c r="D11" s="1">
        <v>0</v>
      </c>
      <c r="E11" s="1">
        <f t="shared" ref="E11:E13" si="3">A11-3000</f>
        <v>201</v>
      </c>
    </row>
    <row r="12" spans="1:5" x14ac:dyDescent="0.3">
      <c r="A12" s="1">
        <f t="shared" si="2"/>
        <v>3301</v>
      </c>
      <c r="B12" s="1" t="str">
        <f>B4</f>
        <v>Sword(TR)</v>
      </c>
      <c r="C12" s="1">
        <v>1</v>
      </c>
      <c r="D12" s="1">
        <f>D4*1.5</f>
        <v>2.25</v>
      </c>
      <c r="E12" s="1">
        <f t="shared" si="3"/>
        <v>301</v>
      </c>
    </row>
    <row r="13" spans="1:5" x14ac:dyDescent="0.3">
      <c r="A13" s="1">
        <f t="shared" si="2"/>
        <v>3401</v>
      </c>
      <c r="B13" s="1" t="str">
        <f>B5</f>
        <v>Sword(B)</v>
      </c>
      <c r="C13" s="1">
        <v>1</v>
      </c>
      <c r="D13" s="1">
        <v>0</v>
      </c>
      <c r="E13" s="1">
        <f t="shared" si="3"/>
        <v>401</v>
      </c>
    </row>
    <row r="14" spans="1:5" x14ac:dyDescent="0.3">
      <c r="A14" s="1">
        <f t="shared" si="2"/>
        <v>4101</v>
      </c>
      <c r="B14" s="1" t="str">
        <f>B2</f>
        <v>Sword(SP)</v>
      </c>
      <c r="C14" s="1">
        <v>10</v>
      </c>
      <c r="D14" s="1">
        <f>D2*2</f>
        <v>4</v>
      </c>
      <c r="E14" s="1">
        <f>A14-4000</f>
        <v>101</v>
      </c>
    </row>
    <row r="15" spans="1:5" x14ac:dyDescent="0.3">
      <c r="A15" s="1">
        <f t="shared" si="2"/>
        <v>4201</v>
      </c>
      <c r="B15" s="1" t="str">
        <f>B3</f>
        <v>Sword(T)</v>
      </c>
      <c r="C15" s="1">
        <v>15</v>
      </c>
      <c r="D15" s="1">
        <v>0</v>
      </c>
      <c r="E15" s="1">
        <f t="shared" ref="E15:E17" si="4">A15-4000</f>
        <v>201</v>
      </c>
    </row>
    <row r="16" spans="1:5" x14ac:dyDescent="0.3">
      <c r="A16" s="1">
        <f t="shared" si="2"/>
        <v>4301</v>
      </c>
      <c r="B16" s="1" t="str">
        <f>B4</f>
        <v>Sword(TR)</v>
      </c>
      <c r="C16" s="1">
        <v>1</v>
      </c>
      <c r="D16" s="1">
        <f>D4*2</f>
        <v>3</v>
      </c>
      <c r="E16" s="1">
        <f t="shared" si="4"/>
        <v>301</v>
      </c>
    </row>
    <row r="17" spans="1:5" x14ac:dyDescent="0.3">
      <c r="A17" s="1">
        <f t="shared" si="2"/>
        <v>4401</v>
      </c>
      <c r="B17" s="1" t="str">
        <f>B5</f>
        <v>Sword(B)</v>
      </c>
      <c r="C17" s="1">
        <v>1</v>
      </c>
      <c r="D17" s="1">
        <v>0</v>
      </c>
      <c r="E17" s="1">
        <f t="shared" si="4"/>
        <v>401</v>
      </c>
    </row>
    <row r="18" spans="1:5" x14ac:dyDescent="0.3">
      <c r="A18" s="1">
        <f t="shared" si="2"/>
        <v>5101</v>
      </c>
      <c r="B18" s="1" t="str">
        <f>B2</f>
        <v>Sword(SP)</v>
      </c>
      <c r="C18" s="1">
        <v>10</v>
      </c>
      <c r="D18" s="1">
        <f>D2*3</f>
        <v>6</v>
      </c>
      <c r="E18" s="1">
        <f>A18-5000</f>
        <v>101</v>
      </c>
    </row>
    <row r="19" spans="1:5" x14ac:dyDescent="0.3">
      <c r="A19" s="1">
        <f t="shared" si="2"/>
        <v>5201</v>
      </c>
      <c r="B19" s="1" t="str">
        <f>B3</f>
        <v>Sword(T)</v>
      </c>
      <c r="C19" s="1">
        <v>15</v>
      </c>
      <c r="D19" s="1">
        <v>0</v>
      </c>
      <c r="E19" s="1">
        <f t="shared" ref="E19:E21" si="5">A19-5000</f>
        <v>201</v>
      </c>
    </row>
    <row r="20" spans="1:5" x14ac:dyDescent="0.3">
      <c r="A20" s="1">
        <f t="shared" si="2"/>
        <v>5301</v>
      </c>
      <c r="B20" s="1" t="str">
        <f>B4</f>
        <v>Sword(TR)</v>
      </c>
      <c r="C20" s="1">
        <v>1</v>
      </c>
      <c r="D20" s="1">
        <f>D4*3</f>
        <v>4.5</v>
      </c>
      <c r="E20" s="1">
        <f t="shared" si="5"/>
        <v>301</v>
      </c>
    </row>
    <row r="21" spans="1:5" x14ac:dyDescent="0.3">
      <c r="A21" s="1">
        <f t="shared" si="2"/>
        <v>5401</v>
      </c>
      <c r="B21" s="1" t="str">
        <f>B5</f>
        <v>Sword(B)</v>
      </c>
      <c r="C21" s="1">
        <v>1</v>
      </c>
      <c r="D21" s="1">
        <v>0</v>
      </c>
      <c r="E21" s="1">
        <f t="shared" si="5"/>
        <v>401</v>
      </c>
    </row>
    <row r="23" spans="1:5" x14ac:dyDescent="0.3">
      <c r="A23" s="1">
        <v>1102</v>
      </c>
      <c r="B23" s="1" t="s">
        <v>9</v>
      </c>
      <c r="C23" s="1">
        <v>10</v>
      </c>
      <c r="D23" s="1">
        <v>2</v>
      </c>
      <c r="E23" s="1">
        <f>A23-1000</f>
        <v>102</v>
      </c>
    </row>
    <row r="24" spans="1:5" x14ac:dyDescent="0.3">
      <c r="A24" s="1">
        <f>A23+100</f>
        <v>1202</v>
      </c>
      <c r="B24" s="1" t="s">
        <v>10</v>
      </c>
      <c r="C24" s="1">
        <v>15</v>
      </c>
      <c r="D24" s="1">
        <v>0</v>
      </c>
      <c r="E24" s="1">
        <f t="shared" ref="E24:E26" si="6">A24-1000</f>
        <v>202</v>
      </c>
    </row>
    <row r="25" spans="1:5" x14ac:dyDescent="0.3">
      <c r="A25" s="1">
        <f>A23+200</f>
        <v>1302</v>
      </c>
      <c r="B25" s="1" t="s">
        <v>11</v>
      </c>
      <c r="C25" s="1">
        <v>1</v>
      </c>
      <c r="D25" s="1">
        <v>1.5</v>
      </c>
      <c r="E25" s="1">
        <f t="shared" si="6"/>
        <v>302</v>
      </c>
    </row>
    <row r="26" spans="1:5" x14ac:dyDescent="0.3">
      <c r="A26" s="1">
        <f>A23+300</f>
        <v>1402</v>
      </c>
      <c r="B26" s="1" t="s">
        <v>12</v>
      </c>
      <c r="C26" s="1">
        <v>1</v>
      </c>
      <c r="D26" s="1">
        <v>0</v>
      </c>
      <c r="E26" s="1">
        <f t="shared" si="6"/>
        <v>402</v>
      </c>
    </row>
    <row r="27" spans="1:5" x14ac:dyDescent="0.3">
      <c r="A27" s="1">
        <f>A23+1000</f>
        <v>2102</v>
      </c>
      <c r="B27" s="1" t="str">
        <f>B23</f>
        <v>Bow(SP)</v>
      </c>
      <c r="C27" s="1">
        <v>10</v>
      </c>
      <c r="D27" s="1">
        <f>D23</f>
        <v>2</v>
      </c>
      <c r="E27" s="1">
        <f>A27-2000</f>
        <v>102</v>
      </c>
    </row>
    <row r="28" spans="1:5" x14ac:dyDescent="0.3">
      <c r="A28" s="1">
        <f>A24+1000</f>
        <v>2202</v>
      </c>
      <c r="B28" s="1" t="str">
        <f>B24</f>
        <v>Bow(T)</v>
      </c>
      <c r="C28" s="1">
        <v>15</v>
      </c>
      <c r="D28" s="1">
        <v>0</v>
      </c>
      <c r="E28" s="1">
        <f t="shared" ref="E28:E30" si="7">A28-2000</f>
        <v>202</v>
      </c>
    </row>
    <row r="29" spans="1:5" x14ac:dyDescent="0.3">
      <c r="A29" s="1">
        <f t="shared" ref="A29:A42" si="8">A25+1000</f>
        <v>2302</v>
      </c>
      <c r="B29" s="1" t="str">
        <f>B25</f>
        <v>Bow(TR)</v>
      </c>
      <c r="C29" s="1">
        <v>1</v>
      </c>
      <c r="D29" s="1">
        <f>D25</f>
        <v>1.5</v>
      </c>
      <c r="E29" s="1">
        <f t="shared" si="7"/>
        <v>302</v>
      </c>
    </row>
    <row r="30" spans="1:5" x14ac:dyDescent="0.3">
      <c r="A30" s="1">
        <f t="shared" si="8"/>
        <v>2402</v>
      </c>
      <c r="B30" s="1" t="str">
        <f>B26</f>
        <v>Bow(B)</v>
      </c>
      <c r="C30" s="1">
        <v>1</v>
      </c>
      <c r="D30" s="1">
        <v>0</v>
      </c>
      <c r="E30" s="1">
        <f t="shared" si="7"/>
        <v>402</v>
      </c>
    </row>
    <row r="31" spans="1:5" x14ac:dyDescent="0.3">
      <c r="A31" s="1">
        <f t="shared" si="8"/>
        <v>3102</v>
      </c>
      <c r="B31" s="1" t="str">
        <f>B23</f>
        <v>Bow(SP)</v>
      </c>
      <c r="C31" s="1">
        <v>10</v>
      </c>
      <c r="D31" s="1">
        <f>D23*1.5</f>
        <v>3</v>
      </c>
      <c r="E31" s="1">
        <f>A31-3000</f>
        <v>102</v>
      </c>
    </row>
    <row r="32" spans="1:5" x14ac:dyDescent="0.3">
      <c r="A32" s="1">
        <f t="shared" si="8"/>
        <v>3202</v>
      </c>
      <c r="B32" s="1" t="str">
        <f>B24</f>
        <v>Bow(T)</v>
      </c>
      <c r="C32" s="1">
        <v>15</v>
      </c>
      <c r="D32" s="1">
        <v>0</v>
      </c>
      <c r="E32" s="1">
        <f t="shared" ref="E32:E34" si="9">A32-3000</f>
        <v>202</v>
      </c>
    </row>
    <row r="33" spans="1:5" x14ac:dyDescent="0.3">
      <c r="A33" s="1">
        <f t="shared" si="8"/>
        <v>3302</v>
      </c>
      <c r="B33" s="1" t="str">
        <f>B25</f>
        <v>Bow(TR)</v>
      </c>
      <c r="C33" s="1">
        <v>1</v>
      </c>
      <c r="D33" s="1">
        <f>D25*1.5</f>
        <v>2.25</v>
      </c>
      <c r="E33" s="1">
        <f t="shared" si="9"/>
        <v>302</v>
      </c>
    </row>
    <row r="34" spans="1:5" x14ac:dyDescent="0.3">
      <c r="A34" s="1">
        <f t="shared" si="8"/>
        <v>3402</v>
      </c>
      <c r="B34" s="1" t="str">
        <f>B26</f>
        <v>Bow(B)</v>
      </c>
      <c r="C34" s="1">
        <v>1</v>
      </c>
      <c r="D34" s="1">
        <v>0</v>
      </c>
      <c r="E34" s="1">
        <f t="shared" si="9"/>
        <v>402</v>
      </c>
    </row>
    <row r="35" spans="1:5" x14ac:dyDescent="0.3">
      <c r="A35" s="1">
        <f t="shared" si="8"/>
        <v>4102</v>
      </c>
      <c r="B35" s="1" t="str">
        <f>B23</f>
        <v>Bow(SP)</v>
      </c>
      <c r="C35" s="1">
        <v>10</v>
      </c>
      <c r="D35" s="1">
        <f>D23*2</f>
        <v>4</v>
      </c>
      <c r="E35" s="1">
        <f>A35-4000</f>
        <v>102</v>
      </c>
    </row>
    <row r="36" spans="1:5" x14ac:dyDescent="0.3">
      <c r="A36" s="1">
        <f t="shared" si="8"/>
        <v>4202</v>
      </c>
      <c r="B36" s="1" t="str">
        <f>B24</f>
        <v>Bow(T)</v>
      </c>
      <c r="C36" s="1">
        <v>15</v>
      </c>
      <c r="D36" s="1">
        <v>0</v>
      </c>
      <c r="E36" s="1">
        <f t="shared" ref="E36:E38" si="10">A36-4000</f>
        <v>202</v>
      </c>
    </row>
    <row r="37" spans="1:5" x14ac:dyDescent="0.3">
      <c r="A37" s="1">
        <f t="shared" si="8"/>
        <v>4302</v>
      </c>
      <c r="B37" s="1" t="str">
        <f>B25</f>
        <v>Bow(TR)</v>
      </c>
      <c r="C37" s="1">
        <v>1</v>
      </c>
      <c r="D37" s="1">
        <f>D25*2</f>
        <v>3</v>
      </c>
      <c r="E37" s="1">
        <f t="shared" si="10"/>
        <v>302</v>
      </c>
    </row>
    <row r="38" spans="1:5" x14ac:dyDescent="0.3">
      <c r="A38" s="1">
        <f t="shared" si="8"/>
        <v>4402</v>
      </c>
      <c r="B38" s="1" t="str">
        <f>B26</f>
        <v>Bow(B)</v>
      </c>
      <c r="C38" s="1">
        <v>1</v>
      </c>
      <c r="D38" s="1">
        <v>0</v>
      </c>
      <c r="E38" s="1">
        <f t="shared" si="10"/>
        <v>402</v>
      </c>
    </row>
    <row r="39" spans="1:5" x14ac:dyDescent="0.3">
      <c r="A39" s="1">
        <f t="shared" si="8"/>
        <v>5102</v>
      </c>
      <c r="B39" s="1" t="str">
        <f>B23</f>
        <v>Bow(SP)</v>
      </c>
      <c r="C39" s="1">
        <v>10</v>
      </c>
      <c r="D39" s="1">
        <f>D23*3</f>
        <v>6</v>
      </c>
      <c r="E39" s="1">
        <f>A39-5000</f>
        <v>102</v>
      </c>
    </row>
    <row r="40" spans="1:5" x14ac:dyDescent="0.3">
      <c r="A40" s="1">
        <f t="shared" si="8"/>
        <v>5202</v>
      </c>
      <c r="B40" s="1" t="str">
        <f>B24</f>
        <v>Bow(T)</v>
      </c>
      <c r="C40" s="1">
        <v>15</v>
      </c>
      <c r="D40" s="1">
        <v>0</v>
      </c>
      <c r="E40" s="1">
        <f t="shared" ref="E40:E42" si="11">A40-5000</f>
        <v>202</v>
      </c>
    </row>
    <row r="41" spans="1:5" x14ac:dyDescent="0.3">
      <c r="A41" s="1">
        <f t="shared" si="8"/>
        <v>5302</v>
      </c>
      <c r="B41" s="1" t="str">
        <f>B25</f>
        <v>Bow(TR)</v>
      </c>
      <c r="C41" s="1">
        <v>1</v>
      </c>
      <c r="D41" s="1">
        <f>D25*3</f>
        <v>4.5</v>
      </c>
      <c r="E41" s="1">
        <f t="shared" si="11"/>
        <v>302</v>
      </c>
    </row>
    <row r="42" spans="1:5" x14ac:dyDescent="0.3">
      <c r="A42" s="1">
        <f t="shared" si="8"/>
        <v>5402</v>
      </c>
      <c r="B42" s="1" t="str">
        <f>B26</f>
        <v>Bow(B)</v>
      </c>
      <c r="C42" s="1">
        <v>1</v>
      </c>
      <c r="D42" s="1">
        <v>0</v>
      </c>
      <c r="E42" s="1">
        <f t="shared" si="11"/>
        <v>402</v>
      </c>
    </row>
    <row r="44" spans="1:5" x14ac:dyDescent="0.3">
      <c r="A44" s="1">
        <v>1103</v>
      </c>
      <c r="B44" s="1" t="s">
        <v>13</v>
      </c>
      <c r="C44" s="1">
        <v>10</v>
      </c>
      <c r="D44" s="1">
        <v>2</v>
      </c>
      <c r="E44" s="1">
        <f>A44-1000</f>
        <v>103</v>
      </c>
    </row>
    <row r="45" spans="1:5" x14ac:dyDescent="0.3">
      <c r="A45" s="1">
        <f>A44+100</f>
        <v>1203</v>
      </c>
      <c r="B45" s="1" t="s">
        <v>14</v>
      </c>
      <c r="C45" s="1">
        <v>15</v>
      </c>
      <c r="D45" s="1">
        <v>0</v>
      </c>
      <c r="E45" s="1">
        <f t="shared" ref="E45:E47" si="12">A45-1000</f>
        <v>203</v>
      </c>
    </row>
    <row r="46" spans="1:5" x14ac:dyDescent="0.3">
      <c r="A46" s="1">
        <f>A44+200</f>
        <v>1303</v>
      </c>
      <c r="B46" s="1" t="s">
        <v>15</v>
      </c>
      <c r="C46" s="1">
        <v>1</v>
      </c>
      <c r="D46" s="1">
        <v>1.5</v>
      </c>
      <c r="E46" s="1">
        <f t="shared" si="12"/>
        <v>303</v>
      </c>
    </row>
    <row r="47" spans="1:5" x14ac:dyDescent="0.3">
      <c r="A47" s="1">
        <f>A44+300</f>
        <v>1403</v>
      </c>
      <c r="B47" s="1" t="s">
        <v>16</v>
      </c>
      <c r="C47" s="1">
        <v>1</v>
      </c>
      <c r="D47" s="1">
        <v>0</v>
      </c>
      <c r="E47" s="1">
        <f t="shared" si="12"/>
        <v>403</v>
      </c>
    </row>
    <row r="48" spans="1:5" x14ac:dyDescent="0.3">
      <c r="A48" s="1">
        <f>A44+1000</f>
        <v>2103</v>
      </c>
      <c r="B48" s="1" t="str">
        <f>B44</f>
        <v>Shield(SP)</v>
      </c>
      <c r="C48" s="1">
        <v>10</v>
      </c>
      <c r="D48" s="1">
        <f>D44</f>
        <v>2</v>
      </c>
      <c r="E48" s="1">
        <f>A48-2000</f>
        <v>103</v>
      </c>
    </row>
    <row r="49" spans="1:5" x14ac:dyDescent="0.3">
      <c r="A49" s="1">
        <f>A45+1000</f>
        <v>2203</v>
      </c>
      <c r="B49" s="1" t="str">
        <f>B45</f>
        <v>Shield(T)</v>
      </c>
      <c r="C49" s="1">
        <v>15</v>
      </c>
      <c r="D49" s="1">
        <v>0</v>
      </c>
      <c r="E49" s="1">
        <f t="shared" ref="E49:E51" si="13">A49-2000</f>
        <v>203</v>
      </c>
    </row>
    <row r="50" spans="1:5" x14ac:dyDescent="0.3">
      <c r="A50" s="1">
        <f t="shared" ref="A50:A63" si="14">A46+1000</f>
        <v>2303</v>
      </c>
      <c r="B50" s="1" t="str">
        <f>B46</f>
        <v>Shield(TR)</v>
      </c>
      <c r="C50" s="1">
        <v>1</v>
      </c>
      <c r="D50" s="1">
        <f>D46</f>
        <v>1.5</v>
      </c>
      <c r="E50" s="1">
        <f t="shared" si="13"/>
        <v>303</v>
      </c>
    </row>
    <row r="51" spans="1:5" x14ac:dyDescent="0.3">
      <c r="A51" s="1">
        <f t="shared" si="14"/>
        <v>2403</v>
      </c>
      <c r="B51" s="1" t="str">
        <f>B47</f>
        <v>Shield(B)</v>
      </c>
      <c r="C51" s="1">
        <v>1</v>
      </c>
      <c r="D51" s="1">
        <v>0</v>
      </c>
      <c r="E51" s="1">
        <f t="shared" si="13"/>
        <v>403</v>
      </c>
    </row>
    <row r="52" spans="1:5" x14ac:dyDescent="0.3">
      <c r="A52" s="1">
        <f t="shared" si="14"/>
        <v>3103</v>
      </c>
      <c r="B52" s="1" t="str">
        <f>B44</f>
        <v>Shield(SP)</v>
      </c>
      <c r="C52" s="1">
        <v>10</v>
      </c>
      <c r="D52" s="1">
        <f>D44*1.5</f>
        <v>3</v>
      </c>
      <c r="E52" s="1">
        <f>A52-3000</f>
        <v>103</v>
      </c>
    </row>
    <row r="53" spans="1:5" x14ac:dyDescent="0.3">
      <c r="A53" s="1">
        <f t="shared" si="14"/>
        <v>3203</v>
      </c>
      <c r="B53" s="1" t="str">
        <f>B45</f>
        <v>Shield(T)</v>
      </c>
      <c r="C53" s="1">
        <v>15</v>
      </c>
      <c r="D53" s="1">
        <v>0</v>
      </c>
      <c r="E53" s="1">
        <f t="shared" ref="E53:E55" si="15">A53-3000</f>
        <v>203</v>
      </c>
    </row>
    <row r="54" spans="1:5" x14ac:dyDescent="0.3">
      <c r="A54" s="1">
        <f t="shared" si="14"/>
        <v>3303</v>
      </c>
      <c r="B54" s="1" t="str">
        <f>B46</f>
        <v>Shield(TR)</v>
      </c>
      <c r="C54" s="1">
        <v>1</v>
      </c>
      <c r="D54" s="1">
        <f>D46*1.5</f>
        <v>2.25</v>
      </c>
      <c r="E54" s="1">
        <f t="shared" si="15"/>
        <v>303</v>
      </c>
    </row>
    <row r="55" spans="1:5" x14ac:dyDescent="0.3">
      <c r="A55" s="1">
        <f t="shared" si="14"/>
        <v>3403</v>
      </c>
      <c r="B55" s="1" t="str">
        <f>B47</f>
        <v>Shield(B)</v>
      </c>
      <c r="C55" s="1">
        <v>1</v>
      </c>
      <c r="D55" s="1">
        <v>0</v>
      </c>
      <c r="E55" s="1">
        <f t="shared" si="15"/>
        <v>403</v>
      </c>
    </row>
    <row r="56" spans="1:5" x14ac:dyDescent="0.3">
      <c r="A56" s="1">
        <f t="shared" si="14"/>
        <v>4103</v>
      </c>
      <c r="B56" s="1" t="str">
        <f>B44</f>
        <v>Shield(SP)</v>
      </c>
      <c r="C56" s="1">
        <v>10</v>
      </c>
      <c r="D56" s="1">
        <f>D44*2</f>
        <v>4</v>
      </c>
      <c r="E56" s="1">
        <f>A56-4000</f>
        <v>103</v>
      </c>
    </row>
    <row r="57" spans="1:5" x14ac:dyDescent="0.3">
      <c r="A57" s="1">
        <f t="shared" si="14"/>
        <v>4203</v>
      </c>
      <c r="B57" s="1" t="str">
        <f>B45</f>
        <v>Shield(T)</v>
      </c>
      <c r="C57" s="1">
        <v>15</v>
      </c>
      <c r="D57" s="1">
        <v>0</v>
      </c>
      <c r="E57" s="1">
        <f t="shared" ref="E57:E59" si="16">A57-4000</f>
        <v>203</v>
      </c>
    </row>
    <row r="58" spans="1:5" x14ac:dyDescent="0.3">
      <c r="A58" s="1">
        <f t="shared" si="14"/>
        <v>4303</v>
      </c>
      <c r="B58" s="1" t="str">
        <f>B46</f>
        <v>Shield(TR)</v>
      </c>
      <c r="C58" s="1">
        <v>1</v>
      </c>
      <c r="D58" s="1">
        <f>D46*2</f>
        <v>3</v>
      </c>
      <c r="E58" s="1">
        <f t="shared" si="16"/>
        <v>303</v>
      </c>
    </row>
    <row r="59" spans="1:5" x14ac:dyDescent="0.3">
      <c r="A59" s="1">
        <f t="shared" si="14"/>
        <v>4403</v>
      </c>
      <c r="B59" s="1" t="str">
        <f>B47</f>
        <v>Shield(B)</v>
      </c>
      <c r="C59" s="1">
        <v>1</v>
      </c>
      <c r="D59" s="1">
        <v>0</v>
      </c>
      <c r="E59" s="1">
        <f t="shared" si="16"/>
        <v>403</v>
      </c>
    </row>
    <row r="60" spans="1:5" x14ac:dyDescent="0.3">
      <c r="A60" s="1">
        <f t="shared" si="14"/>
        <v>5103</v>
      </c>
      <c r="B60" s="1" t="str">
        <f>B44</f>
        <v>Shield(SP)</v>
      </c>
      <c r="C60" s="1">
        <v>10</v>
      </c>
      <c r="D60" s="1">
        <f>D44*3</f>
        <v>6</v>
      </c>
      <c r="E60" s="1">
        <f>A60-5000</f>
        <v>103</v>
      </c>
    </row>
    <row r="61" spans="1:5" x14ac:dyDescent="0.3">
      <c r="A61" s="1">
        <f t="shared" si="14"/>
        <v>5203</v>
      </c>
      <c r="B61" s="1" t="str">
        <f>B45</f>
        <v>Shield(T)</v>
      </c>
      <c r="C61" s="1">
        <v>15</v>
      </c>
      <c r="D61" s="1">
        <v>0</v>
      </c>
      <c r="E61" s="1">
        <f t="shared" ref="E61:E63" si="17">A61-5000</f>
        <v>203</v>
      </c>
    </row>
    <row r="62" spans="1:5" x14ac:dyDescent="0.3">
      <c r="A62" s="1">
        <f t="shared" si="14"/>
        <v>5303</v>
      </c>
      <c r="B62" s="1" t="str">
        <f>B46</f>
        <v>Shield(TR)</v>
      </c>
      <c r="C62" s="1">
        <v>1</v>
      </c>
      <c r="D62" s="1">
        <f>D46*3</f>
        <v>4.5</v>
      </c>
      <c r="E62" s="1">
        <f t="shared" si="17"/>
        <v>303</v>
      </c>
    </row>
    <row r="63" spans="1:5" x14ac:dyDescent="0.3">
      <c r="A63" s="1">
        <f t="shared" si="14"/>
        <v>5403</v>
      </c>
      <c r="B63" s="1" t="str">
        <f>B47</f>
        <v>Shield(B)</v>
      </c>
      <c r="C63" s="1">
        <v>1</v>
      </c>
      <c r="D63" s="1">
        <v>0</v>
      </c>
      <c r="E63" s="1">
        <f t="shared" si="17"/>
        <v>403</v>
      </c>
    </row>
    <row r="65" spans="1:5" x14ac:dyDescent="0.3">
      <c r="A65" s="1">
        <v>1104</v>
      </c>
      <c r="B65" s="1" t="s">
        <v>17</v>
      </c>
      <c r="C65" s="1">
        <v>10</v>
      </c>
      <c r="D65" s="1">
        <v>1.5</v>
      </c>
      <c r="E65" s="1">
        <f>A65-1000</f>
        <v>104</v>
      </c>
    </row>
    <row r="66" spans="1:5" x14ac:dyDescent="0.3">
      <c r="A66" s="1">
        <f>A65+100</f>
        <v>1204</v>
      </c>
      <c r="B66" s="1" t="s">
        <v>18</v>
      </c>
      <c r="C66" s="1">
        <v>15</v>
      </c>
      <c r="D66" s="1">
        <v>0</v>
      </c>
      <c r="E66" s="1">
        <f t="shared" ref="E66:E68" si="18">A66-1000</f>
        <v>204</v>
      </c>
    </row>
    <row r="67" spans="1:5" x14ac:dyDescent="0.3">
      <c r="A67" s="1">
        <f>A65+200</f>
        <v>1304</v>
      </c>
      <c r="B67" s="1" t="s">
        <v>19</v>
      </c>
      <c r="C67" s="1">
        <v>1</v>
      </c>
      <c r="D67" s="1">
        <v>1.5</v>
      </c>
      <c r="E67" s="1">
        <f t="shared" si="18"/>
        <v>304</v>
      </c>
    </row>
    <row r="68" spans="1:5" x14ac:dyDescent="0.3">
      <c r="A68" s="1">
        <f>A65+300</f>
        <v>1404</v>
      </c>
      <c r="B68" s="1" t="s">
        <v>20</v>
      </c>
      <c r="C68" s="1">
        <v>1</v>
      </c>
      <c r="D68" s="1">
        <v>0</v>
      </c>
      <c r="E68" s="1">
        <f t="shared" si="18"/>
        <v>404</v>
      </c>
    </row>
    <row r="69" spans="1:5" x14ac:dyDescent="0.3">
      <c r="A69" s="1">
        <f>A65+1000</f>
        <v>2104</v>
      </c>
      <c r="B69" s="1" t="str">
        <f>B65</f>
        <v>Spear(SP)</v>
      </c>
      <c r="C69" s="1">
        <v>10</v>
      </c>
      <c r="D69" s="1">
        <f>D65</f>
        <v>1.5</v>
      </c>
      <c r="E69" s="1">
        <f>A69-2000</f>
        <v>104</v>
      </c>
    </row>
    <row r="70" spans="1:5" x14ac:dyDescent="0.3">
      <c r="A70" s="1">
        <f>A66+1000</f>
        <v>2204</v>
      </c>
      <c r="B70" s="1" t="str">
        <f>B66</f>
        <v>Spear(T)</v>
      </c>
      <c r="C70" s="1">
        <v>15</v>
      </c>
      <c r="D70" s="1">
        <v>0</v>
      </c>
      <c r="E70" s="1">
        <f t="shared" ref="E70:E72" si="19">A70-2000</f>
        <v>204</v>
      </c>
    </row>
    <row r="71" spans="1:5" x14ac:dyDescent="0.3">
      <c r="A71" s="1">
        <f t="shared" ref="A71:A84" si="20">A67+1000</f>
        <v>2304</v>
      </c>
      <c r="B71" s="1" t="str">
        <f>B67</f>
        <v>Spear(TR)</v>
      </c>
      <c r="C71" s="1">
        <v>1</v>
      </c>
      <c r="D71" s="1">
        <f>D67</f>
        <v>1.5</v>
      </c>
      <c r="E71" s="1">
        <f t="shared" si="19"/>
        <v>304</v>
      </c>
    </row>
    <row r="72" spans="1:5" x14ac:dyDescent="0.3">
      <c r="A72" s="1">
        <f t="shared" si="20"/>
        <v>2404</v>
      </c>
      <c r="B72" s="1" t="str">
        <f>B68</f>
        <v>Spear(B)</v>
      </c>
      <c r="C72" s="1">
        <v>1</v>
      </c>
      <c r="D72" s="1">
        <v>0</v>
      </c>
      <c r="E72" s="1">
        <f t="shared" si="19"/>
        <v>404</v>
      </c>
    </row>
    <row r="73" spans="1:5" x14ac:dyDescent="0.3">
      <c r="A73" s="1">
        <f t="shared" si="20"/>
        <v>3104</v>
      </c>
      <c r="B73" s="1" t="str">
        <f>B65</f>
        <v>Spear(SP)</v>
      </c>
      <c r="C73" s="1">
        <v>10</v>
      </c>
      <c r="D73" s="1">
        <f>D65*1.5</f>
        <v>2.25</v>
      </c>
      <c r="E73" s="1">
        <f>A73-3000</f>
        <v>104</v>
      </c>
    </row>
    <row r="74" spans="1:5" x14ac:dyDescent="0.3">
      <c r="A74" s="1">
        <f t="shared" si="20"/>
        <v>3204</v>
      </c>
      <c r="B74" s="1" t="str">
        <f>B66</f>
        <v>Spear(T)</v>
      </c>
      <c r="C74" s="1">
        <v>15</v>
      </c>
      <c r="D74" s="1">
        <v>0</v>
      </c>
      <c r="E74" s="1">
        <f t="shared" ref="E74:E76" si="21">A74-3000</f>
        <v>204</v>
      </c>
    </row>
    <row r="75" spans="1:5" x14ac:dyDescent="0.3">
      <c r="A75" s="1">
        <f t="shared" si="20"/>
        <v>3304</v>
      </c>
      <c r="B75" s="1" t="str">
        <f>B67</f>
        <v>Spear(TR)</v>
      </c>
      <c r="C75" s="1">
        <v>1</v>
      </c>
      <c r="D75" s="1">
        <f>D67*1.5</f>
        <v>2.25</v>
      </c>
      <c r="E75" s="1">
        <f t="shared" si="21"/>
        <v>304</v>
      </c>
    </row>
    <row r="76" spans="1:5" x14ac:dyDescent="0.3">
      <c r="A76" s="1">
        <f t="shared" si="20"/>
        <v>3404</v>
      </c>
      <c r="B76" s="1" t="str">
        <f>B68</f>
        <v>Spear(B)</v>
      </c>
      <c r="C76" s="1">
        <v>1</v>
      </c>
      <c r="D76" s="1">
        <v>0</v>
      </c>
      <c r="E76" s="1">
        <f t="shared" si="21"/>
        <v>404</v>
      </c>
    </row>
    <row r="77" spans="1:5" x14ac:dyDescent="0.3">
      <c r="A77" s="1">
        <f t="shared" si="20"/>
        <v>4104</v>
      </c>
      <c r="B77" s="1" t="str">
        <f>B65</f>
        <v>Spear(SP)</v>
      </c>
      <c r="C77" s="1">
        <v>10</v>
      </c>
      <c r="D77" s="1">
        <f>D65*2</f>
        <v>3</v>
      </c>
      <c r="E77" s="1">
        <f>A77-4000</f>
        <v>104</v>
      </c>
    </row>
    <row r="78" spans="1:5" x14ac:dyDescent="0.3">
      <c r="A78" s="1">
        <f t="shared" si="20"/>
        <v>4204</v>
      </c>
      <c r="B78" s="1" t="str">
        <f>B66</f>
        <v>Spear(T)</v>
      </c>
      <c r="C78" s="1">
        <v>15</v>
      </c>
      <c r="D78" s="1">
        <v>0</v>
      </c>
      <c r="E78" s="1">
        <f t="shared" ref="E78:E80" si="22">A78-4000</f>
        <v>204</v>
      </c>
    </row>
    <row r="79" spans="1:5" x14ac:dyDescent="0.3">
      <c r="A79" s="1">
        <f t="shared" si="20"/>
        <v>4304</v>
      </c>
      <c r="B79" s="1" t="str">
        <f>B67</f>
        <v>Spear(TR)</v>
      </c>
      <c r="C79" s="1">
        <v>1</v>
      </c>
      <c r="D79" s="1">
        <f>D67*2</f>
        <v>3</v>
      </c>
      <c r="E79" s="1">
        <f t="shared" si="22"/>
        <v>304</v>
      </c>
    </row>
    <row r="80" spans="1:5" x14ac:dyDescent="0.3">
      <c r="A80" s="1">
        <f t="shared" si="20"/>
        <v>4404</v>
      </c>
      <c r="B80" s="1" t="str">
        <f>B68</f>
        <v>Spear(B)</v>
      </c>
      <c r="C80" s="1">
        <v>1</v>
      </c>
      <c r="D80" s="1">
        <v>0</v>
      </c>
      <c r="E80" s="1">
        <f t="shared" si="22"/>
        <v>404</v>
      </c>
    </row>
    <row r="81" spans="1:5" x14ac:dyDescent="0.3">
      <c r="A81" s="1">
        <f t="shared" si="20"/>
        <v>5104</v>
      </c>
      <c r="B81" s="1" t="str">
        <f>B65</f>
        <v>Spear(SP)</v>
      </c>
      <c r="C81" s="1">
        <v>10</v>
      </c>
      <c r="D81" s="1">
        <f>D65*3</f>
        <v>4.5</v>
      </c>
      <c r="E81" s="1">
        <f>A81-5000</f>
        <v>104</v>
      </c>
    </row>
    <row r="82" spans="1:5" x14ac:dyDescent="0.3">
      <c r="A82" s="1">
        <f t="shared" si="20"/>
        <v>5204</v>
      </c>
      <c r="B82" s="1" t="str">
        <f>B66</f>
        <v>Spear(T)</v>
      </c>
      <c r="C82" s="1">
        <v>15</v>
      </c>
      <c r="D82" s="1">
        <v>0</v>
      </c>
      <c r="E82" s="1">
        <f t="shared" ref="E82:E84" si="23">A82-5000</f>
        <v>204</v>
      </c>
    </row>
    <row r="83" spans="1:5" x14ac:dyDescent="0.3">
      <c r="A83" s="1">
        <f t="shared" si="20"/>
        <v>5304</v>
      </c>
      <c r="B83" s="1" t="str">
        <f>B67</f>
        <v>Spear(TR)</v>
      </c>
      <c r="C83" s="1">
        <v>1</v>
      </c>
      <c r="D83" s="1">
        <f>D67*3</f>
        <v>4.5</v>
      </c>
      <c r="E83" s="1">
        <f t="shared" si="23"/>
        <v>304</v>
      </c>
    </row>
    <row r="84" spans="1:5" x14ac:dyDescent="0.3">
      <c r="A84" s="1">
        <f t="shared" si="20"/>
        <v>5404</v>
      </c>
      <c r="B84" s="1" t="str">
        <f>B68</f>
        <v>Spear(B)</v>
      </c>
      <c r="C84" s="1">
        <v>1</v>
      </c>
      <c r="D84" s="1">
        <v>0</v>
      </c>
      <c r="E84" s="1">
        <f t="shared" si="23"/>
        <v>404</v>
      </c>
    </row>
    <row r="86" spans="1:5" x14ac:dyDescent="0.3">
      <c r="A86" s="1">
        <v>1105</v>
      </c>
      <c r="B86" s="1" t="s">
        <v>21</v>
      </c>
      <c r="C86" s="1">
        <v>10</v>
      </c>
      <c r="D86" s="1">
        <v>1.2</v>
      </c>
      <c r="E86" s="1">
        <f>A86-1000</f>
        <v>105</v>
      </c>
    </row>
    <row r="87" spans="1:5" x14ac:dyDescent="0.3">
      <c r="A87" s="1">
        <f>A86+100</f>
        <v>1205</v>
      </c>
      <c r="B87" s="1" t="s">
        <v>22</v>
      </c>
      <c r="C87" s="1">
        <v>15</v>
      </c>
      <c r="D87" s="1">
        <v>0</v>
      </c>
      <c r="E87" s="1">
        <f t="shared" ref="E87:E89" si="24">A87-1000</f>
        <v>205</v>
      </c>
    </row>
    <row r="88" spans="1:5" x14ac:dyDescent="0.3">
      <c r="A88" s="1">
        <f>A86+200</f>
        <v>1305</v>
      </c>
      <c r="B88" s="1" t="s">
        <v>24</v>
      </c>
      <c r="C88" s="1">
        <v>1</v>
      </c>
      <c r="D88" s="1">
        <v>1.5</v>
      </c>
      <c r="E88" s="1">
        <f t="shared" si="24"/>
        <v>305</v>
      </c>
    </row>
    <row r="89" spans="1:5" x14ac:dyDescent="0.3">
      <c r="A89" s="1">
        <f>A86+300</f>
        <v>1405</v>
      </c>
      <c r="B89" s="1" t="s">
        <v>23</v>
      </c>
      <c r="C89" s="1">
        <v>1</v>
      </c>
      <c r="D89" s="1">
        <v>0</v>
      </c>
      <c r="E89" s="1">
        <f t="shared" si="24"/>
        <v>405</v>
      </c>
    </row>
    <row r="90" spans="1:5" x14ac:dyDescent="0.3">
      <c r="A90" s="1">
        <f>A86+1000</f>
        <v>2105</v>
      </c>
      <c r="B90" s="1" t="str">
        <f>B86</f>
        <v>Axe(SP)</v>
      </c>
      <c r="C90" s="1">
        <v>10</v>
      </c>
      <c r="D90" s="1">
        <f>D86</f>
        <v>1.2</v>
      </c>
      <c r="E90" s="1">
        <f>A90-2000</f>
        <v>105</v>
      </c>
    </row>
    <row r="91" spans="1:5" x14ac:dyDescent="0.3">
      <c r="A91" s="1">
        <f>A87+1000</f>
        <v>2205</v>
      </c>
      <c r="B91" s="1" t="str">
        <f>B87</f>
        <v>Axe(T)</v>
      </c>
      <c r="C91" s="1">
        <v>15</v>
      </c>
      <c r="D91" s="1">
        <v>0</v>
      </c>
      <c r="E91" s="1">
        <f t="shared" ref="E91:E93" si="25">A91-2000</f>
        <v>205</v>
      </c>
    </row>
    <row r="92" spans="1:5" x14ac:dyDescent="0.3">
      <c r="A92" s="1">
        <f t="shared" ref="A92:A105" si="26">A88+1000</f>
        <v>2305</v>
      </c>
      <c r="B92" s="1" t="str">
        <f>B88</f>
        <v>Axe(TR)</v>
      </c>
      <c r="C92" s="1">
        <v>1</v>
      </c>
      <c r="D92" s="1">
        <f>D88</f>
        <v>1.5</v>
      </c>
      <c r="E92" s="1">
        <f t="shared" si="25"/>
        <v>305</v>
      </c>
    </row>
    <row r="93" spans="1:5" x14ac:dyDescent="0.3">
      <c r="A93" s="1">
        <f t="shared" si="26"/>
        <v>2405</v>
      </c>
      <c r="B93" s="1" t="str">
        <f>B89</f>
        <v>Axe(B)</v>
      </c>
      <c r="C93" s="1">
        <v>1</v>
      </c>
      <c r="D93" s="1">
        <v>0</v>
      </c>
      <c r="E93" s="1">
        <f t="shared" si="25"/>
        <v>405</v>
      </c>
    </row>
    <row r="94" spans="1:5" x14ac:dyDescent="0.3">
      <c r="A94" s="1">
        <f t="shared" si="26"/>
        <v>3105</v>
      </c>
      <c r="B94" s="1" t="str">
        <f>B86</f>
        <v>Axe(SP)</v>
      </c>
      <c r="C94" s="1">
        <v>10</v>
      </c>
      <c r="D94" s="1">
        <f>D86*1.5</f>
        <v>1.7999999999999998</v>
      </c>
      <c r="E94" s="1">
        <f>A94-3000</f>
        <v>105</v>
      </c>
    </row>
    <row r="95" spans="1:5" x14ac:dyDescent="0.3">
      <c r="A95" s="1">
        <f t="shared" si="26"/>
        <v>3205</v>
      </c>
      <c r="B95" s="1" t="str">
        <f>B87</f>
        <v>Axe(T)</v>
      </c>
      <c r="C95" s="1">
        <v>15</v>
      </c>
      <c r="D95" s="1">
        <v>0</v>
      </c>
      <c r="E95" s="1">
        <f t="shared" ref="E95:E97" si="27">A95-3000</f>
        <v>205</v>
      </c>
    </row>
    <row r="96" spans="1:5" x14ac:dyDescent="0.3">
      <c r="A96" s="1">
        <f t="shared" si="26"/>
        <v>3305</v>
      </c>
      <c r="B96" s="1" t="str">
        <f>B88</f>
        <v>Axe(TR)</v>
      </c>
      <c r="C96" s="1">
        <v>1</v>
      </c>
      <c r="D96" s="1">
        <f>D88*1.5</f>
        <v>2.25</v>
      </c>
      <c r="E96" s="1">
        <f t="shared" si="27"/>
        <v>305</v>
      </c>
    </row>
    <row r="97" spans="1:5" x14ac:dyDescent="0.3">
      <c r="A97" s="1">
        <f t="shared" si="26"/>
        <v>3405</v>
      </c>
      <c r="B97" s="1" t="str">
        <f>B89</f>
        <v>Axe(B)</v>
      </c>
      <c r="C97" s="1">
        <v>1</v>
      </c>
      <c r="D97" s="1">
        <v>0</v>
      </c>
      <c r="E97" s="1">
        <f t="shared" si="27"/>
        <v>405</v>
      </c>
    </row>
    <row r="98" spans="1:5" x14ac:dyDescent="0.3">
      <c r="A98" s="1">
        <f t="shared" si="26"/>
        <v>4105</v>
      </c>
      <c r="B98" s="1" t="str">
        <f>B86</f>
        <v>Axe(SP)</v>
      </c>
      <c r="C98" s="1">
        <v>10</v>
      </c>
      <c r="D98" s="1">
        <f>D86*2</f>
        <v>2.4</v>
      </c>
      <c r="E98" s="1">
        <f>A98-4000</f>
        <v>105</v>
      </c>
    </row>
    <row r="99" spans="1:5" x14ac:dyDescent="0.3">
      <c r="A99" s="1">
        <f t="shared" si="26"/>
        <v>4205</v>
      </c>
      <c r="B99" s="1" t="str">
        <f>B87</f>
        <v>Axe(T)</v>
      </c>
      <c r="C99" s="1">
        <v>15</v>
      </c>
      <c r="D99" s="1">
        <v>0</v>
      </c>
      <c r="E99" s="1">
        <f t="shared" ref="E99:E101" si="28">A99-4000</f>
        <v>205</v>
      </c>
    </row>
    <row r="100" spans="1:5" x14ac:dyDescent="0.3">
      <c r="A100" s="1">
        <f t="shared" si="26"/>
        <v>4305</v>
      </c>
      <c r="B100" s="1" t="str">
        <f>B88</f>
        <v>Axe(TR)</v>
      </c>
      <c r="C100" s="1">
        <v>1</v>
      </c>
      <c r="D100" s="1">
        <f>D88*2</f>
        <v>3</v>
      </c>
      <c r="E100" s="1">
        <f t="shared" si="28"/>
        <v>305</v>
      </c>
    </row>
    <row r="101" spans="1:5" x14ac:dyDescent="0.3">
      <c r="A101" s="1">
        <f t="shared" si="26"/>
        <v>4405</v>
      </c>
      <c r="B101" s="1" t="str">
        <f>B89</f>
        <v>Axe(B)</v>
      </c>
      <c r="C101" s="1">
        <v>1</v>
      </c>
      <c r="D101" s="1">
        <v>0</v>
      </c>
      <c r="E101" s="1">
        <f t="shared" si="28"/>
        <v>405</v>
      </c>
    </row>
    <row r="102" spans="1:5" x14ac:dyDescent="0.3">
      <c r="A102" s="1">
        <f t="shared" si="26"/>
        <v>5105</v>
      </c>
      <c r="B102" s="1" t="str">
        <f>B86</f>
        <v>Axe(SP)</v>
      </c>
      <c r="C102" s="1">
        <v>10</v>
      </c>
      <c r="D102" s="1">
        <f>D86*3</f>
        <v>3.5999999999999996</v>
      </c>
      <c r="E102" s="1">
        <f>A102-5000</f>
        <v>105</v>
      </c>
    </row>
    <row r="103" spans="1:5" x14ac:dyDescent="0.3">
      <c r="A103" s="1">
        <f t="shared" si="26"/>
        <v>5205</v>
      </c>
      <c r="B103" s="1" t="str">
        <f>B87</f>
        <v>Axe(T)</v>
      </c>
      <c r="C103" s="1">
        <v>15</v>
      </c>
      <c r="D103" s="1">
        <v>0</v>
      </c>
      <c r="E103" s="1">
        <f t="shared" ref="E103:E105" si="29">A103-5000</f>
        <v>205</v>
      </c>
    </row>
    <row r="104" spans="1:5" x14ac:dyDescent="0.3">
      <c r="A104" s="1">
        <f t="shared" si="26"/>
        <v>5305</v>
      </c>
      <c r="B104" s="1" t="str">
        <f>B88</f>
        <v>Axe(TR)</v>
      </c>
      <c r="C104" s="1">
        <v>1</v>
      </c>
      <c r="D104" s="1">
        <f>D88*3</f>
        <v>4.5</v>
      </c>
      <c r="E104" s="1">
        <f t="shared" si="29"/>
        <v>305</v>
      </c>
    </row>
    <row r="105" spans="1:5" x14ac:dyDescent="0.3">
      <c r="A105" s="1">
        <f t="shared" si="26"/>
        <v>5405</v>
      </c>
      <c r="B105" s="1" t="str">
        <f>B89</f>
        <v>Axe(B)</v>
      </c>
      <c r="C105" s="1">
        <v>1</v>
      </c>
      <c r="D105" s="1">
        <v>0</v>
      </c>
      <c r="E105" s="1">
        <f t="shared" si="29"/>
        <v>405</v>
      </c>
    </row>
    <row r="107" spans="1:5" x14ac:dyDescent="0.3">
      <c r="A107" s="1">
        <v>1106</v>
      </c>
      <c r="B107" s="1" t="s">
        <v>25</v>
      </c>
      <c r="C107" s="1">
        <v>10</v>
      </c>
      <c r="D107" s="1">
        <v>3</v>
      </c>
      <c r="E107" s="1">
        <f>A107-1000</f>
        <v>106</v>
      </c>
    </row>
    <row r="108" spans="1:5" x14ac:dyDescent="0.3">
      <c r="A108" s="1">
        <f>A107+100</f>
        <v>1206</v>
      </c>
      <c r="B108" s="1" t="s">
        <v>26</v>
      </c>
      <c r="C108" s="1">
        <v>15</v>
      </c>
      <c r="D108" s="1">
        <v>0</v>
      </c>
      <c r="E108" s="1">
        <f t="shared" ref="E108:E110" si="30">A108-1000</f>
        <v>206</v>
      </c>
    </row>
    <row r="109" spans="1:5" x14ac:dyDescent="0.3">
      <c r="A109" s="1">
        <f>A107+200</f>
        <v>1306</v>
      </c>
      <c r="B109" s="1" t="s">
        <v>28</v>
      </c>
      <c r="C109" s="1">
        <v>1</v>
      </c>
      <c r="D109" s="1">
        <v>2</v>
      </c>
      <c r="E109" s="1">
        <f t="shared" si="30"/>
        <v>306</v>
      </c>
    </row>
    <row r="110" spans="1:5" x14ac:dyDescent="0.3">
      <c r="A110" s="1">
        <f>A107+300</f>
        <v>1406</v>
      </c>
      <c r="B110" s="1" t="s">
        <v>27</v>
      </c>
      <c r="C110" s="1">
        <v>1</v>
      </c>
      <c r="D110" s="1">
        <v>0</v>
      </c>
      <c r="E110" s="1">
        <f t="shared" si="30"/>
        <v>406</v>
      </c>
    </row>
    <row r="111" spans="1:5" x14ac:dyDescent="0.3">
      <c r="A111" s="1">
        <f>A107+1000</f>
        <v>2106</v>
      </c>
      <c r="B111" s="1" t="str">
        <f>B107</f>
        <v>Fire(SP)</v>
      </c>
      <c r="C111" s="1">
        <v>10</v>
      </c>
      <c r="D111" s="1">
        <f>D107</f>
        <v>3</v>
      </c>
      <c r="E111" s="1">
        <f>A111-2000</f>
        <v>106</v>
      </c>
    </row>
    <row r="112" spans="1:5" x14ac:dyDescent="0.3">
      <c r="A112" s="1">
        <f>A108+1000</f>
        <v>2206</v>
      </c>
      <c r="B112" s="1" t="str">
        <f>B108</f>
        <v>Fire(T)</v>
      </c>
      <c r="C112" s="1">
        <v>15</v>
      </c>
      <c r="D112" s="1">
        <v>0</v>
      </c>
      <c r="E112" s="1">
        <f t="shared" ref="E112:E114" si="31">A112-2000</f>
        <v>206</v>
      </c>
    </row>
    <row r="113" spans="1:5" x14ac:dyDescent="0.3">
      <c r="A113" s="1">
        <f t="shared" ref="A113:A126" si="32">A109+1000</f>
        <v>2306</v>
      </c>
      <c r="B113" s="1" t="str">
        <f>B109</f>
        <v>Fire(TR)</v>
      </c>
      <c r="C113" s="1">
        <v>1</v>
      </c>
      <c r="D113" s="1">
        <f>D109</f>
        <v>2</v>
      </c>
      <c r="E113" s="1">
        <f t="shared" si="31"/>
        <v>306</v>
      </c>
    </row>
    <row r="114" spans="1:5" x14ac:dyDescent="0.3">
      <c r="A114" s="1">
        <f t="shared" si="32"/>
        <v>2406</v>
      </c>
      <c r="B114" s="1" t="str">
        <f>B110</f>
        <v>Fire(B)</v>
      </c>
      <c r="C114" s="1">
        <v>1</v>
      </c>
      <c r="D114" s="1">
        <v>0</v>
      </c>
      <c r="E114" s="1">
        <f t="shared" si="31"/>
        <v>406</v>
      </c>
    </row>
    <row r="115" spans="1:5" x14ac:dyDescent="0.3">
      <c r="A115" s="1">
        <f t="shared" si="32"/>
        <v>3106</v>
      </c>
      <c r="B115" s="1" t="str">
        <f>B107</f>
        <v>Fire(SP)</v>
      </c>
      <c r="C115" s="1">
        <v>10</v>
      </c>
      <c r="D115" s="1">
        <f>D107*1.5</f>
        <v>4.5</v>
      </c>
      <c r="E115" s="1">
        <f>A115-3000</f>
        <v>106</v>
      </c>
    </row>
    <row r="116" spans="1:5" x14ac:dyDescent="0.3">
      <c r="A116" s="1">
        <f t="shared" si="32"/>
        <v>3206</v>
      </c>
      <c r="B116" s="1" t="str">
        <f>B108</f>
        <v>Fire(T)</v>
      </c>
      <c r="C116" s="1">
        <v>15</v>
      </c>
      <c r="D116" s="1">
        <v>0</v>
      </c>
      <c r="E116" s="1">
        <f t="shared" ref="E116:E118" si="33">A116-3000</f>
        <v>206</v>
      </c>
    </row>
    <row r="117" spans="1:5" x14ac:dyDescent="0.3">
      <c r="A117" s="1">
        <f t="shared" si="32"/>
        <v>3306</v>
      </c>
      <c r="B117" s="1" t="str">
        <f>B109</f>
        <v>Fire(TR)</v>
      </c>
      <c r="C117" s="1">
        <v>1</v>
      </c>
      <c r="D117" s="1">
        <f>D109*1.5</f>
        <v>3</v>
      </c>
      <c r="E117" s="1">
        <f t="shared" si="33"/>
        <v>306</v>
      </c>
    </row>
    <row r="118" spans="1:5" x14ac:dyDescent="0.3">
      <c r="A118" s="1">
        <f t="shared" si="32"/>
        <v>3406</v>
      </c>
      <c r="B118" s="1" t="str">
        <f>B110</f>
        <v>Fire(B)</v>
      </c>
      <c r="C118" s="1">
        <v>1</v>
      </c>
      <c r="D118" s="1">
        <v>0</v>
      </c>
      <c r="E118" s="1">
        <f t="shared" si="33"/>
        <v>406</v>
      </c>
    </row>
    <row r="119" spans="1:5" x14ac:dyDescent="0.3">
      <c r="A119" s="1">
        <f t="shared" si="32"/>
        <v>4106</v>
      </c>
      <c r="B119" s="1" t="str">
        <f>B107</f>
        <v>Fire(SP)</v>
      </c>
      <c r="C119" s="1">
        <v>10</v>
      </c>
      <c r="D119" s="1">
        <f>D107*2</f>
        <v>6</v>
      </c>
      <c r="E119" s="1">
        <f>A119-4000</f>
        <v>106</v>
      </c>
    </row>
    <row r="120" spans="1:5" x14ac:dyDescent="0.3">
      <c r="A120" s="1">
        <f t="shared" si="32"/>
        <v>4206</v>
      </c>
      <c r="B120" s="1" t="str">
        <f>B108</f>
        <v>Fire(T)</v>
      </c>
      <c r="C120" s="1">
        <v>15</v>
      </c>
      <c r="D120" s="1">
        <v>0</v>
      </c>
      <c r="E120" s="1">
        <f t="shared" ref="E120:E122" si="34">A120-4000</f>
        <v>206</v>
      </c>
    </row>
    <row r="121" spans="1:5" x14ac:dyDescent="0.3">
      <c r="A121" s="1">
        <f t="shared" si="32"/>
        <v>4306</v>
      </c>
      <c r="B121" s="1" t="str">
        <f>B109</f>
        <v>Fire(TR)</v>
      </c>
      <c r="C121" s="1">
        <v>1</v>
      </c>
      <c r="D121" s="1">
        <f>D109*2</f>
        <v>4</v>
      </c>
      <c r="E121" s="1">
        <f t="shared" si="34"/>
        <v>306</v>
      </c>
    </row>
    <row r="122" spans="1:5" x14ac:dyDescent="0.3">
      <c r="A122" s="1">
        <f t="shared" si="32"/>
        <v>4406</v>
      </c>
      <c r="B122" s="1" t="str">
        <f>B110</f>
        <v>Fire(B)</v>
      </c>
      <c r="C122" s="1">
        <v>1</v>
      </c>
      <c r="D122" s="1">
        <v>0</v>
      </c>
      <c r="E122" s="1">
        <f t="shared" si="34"/>
        <v>406</v>
      </c>
    </row>
    <row r="123" spans="1:5" x14ac:dyDescent="0.3">
      <c r="A123" s="1">
        <f t="shared" si="32"/>
        <v>5106</v>
      </c>
      <c r="B123" s="1" t="str">
        <f>B107</f>
        <v>Fire(SP)</v>
      </c>
      <c r="C123" s="1">
        <v>10</v>
      </c>
      <c r="D123" s="1">
        <f>D107*3</f>
        <v>9</v>
      </c>
      <c r="E123" s="1">
        <f>A123-5000</f>
        <v>106</v>
      </c>
    </row>
    <row r="124" spans="1:5" x14ac:dyDescent="0.3">
      <c r="A124" s="1">
        <f t="shared" si="32"/>
        <v>5206</v>
      </c>
      <c r="B124" s="1" t="str">
        <f>B108</f>
        <v>Fire(T)</v>
      </c>
      <c r="C124" s="1">
        <v>15</v>
      </c>
      <c r="D124" s="1">
        <v>0</v>
      </c>
      <c r="E124" s="1">
        <f t="shared" ref="E124:E126" si="35">A124-5000</f>
        <v>206</v>
      </c>
    </row>
    <row r="125" spans="1:5" x14ac:dyDescent="0.3">
      <c r="A125" s="1">
        <f t="shared" si="32"/>
        <v>5306</v>
      </c>
      <c r="B125" s="1" t="str">
        <f>B109</f>
        <v>Fire(TR)</v>
      </c>
      <c r="C125" s="1">
        <v>1</v>
      </c>
      <c r="D125" s="1">
        <f>D109*3</f>
        <v>6</v>
      </c>
      <c r="E125" s="1">
        <f t="shared" si="35"/>
        <v>306</v>
      </c>
    </row>
    <row r="126" spans="1:5" x14ac:dyDescent="0.3">
      <c r="A126" s="1">
        <f t="shared" si="32"/>
        <v>5406</v>
      </c>
      <c r="B126" s="1" t="str">
        <f>B110</f>
        <v>Fire(B)</v>
      </c>
      <c r="C126" s="1">
        <v>1</v>
      </c>
      <c r="D126" s="1">
        <v>0</v>
      </c>
      <c r="E126" s="1">
        <f t="shared" si="35"/>
        <v>406</v>
      </c>
    </row>
    <row r="128" spans="1:5" x14ac:dyDescent="0.3">
      <c r="A128" s="1">
        <v>1107</v>
      </c>
      <c r="B128" s="1" t="s">
        <v>29</v>
      </c>
      <c r="C128" s="1">
        <v>10</v>
      </c>
      <c r="D128" s="1">
        <v>3</v>
      </c>
      <c r="E128" s="1">
        <f>A128-1000</f>
        <v>107</v>
      </c>
    </row>
    <row r="129" spans="1:5" x14ac:dyDescent="0.3">
      <c r="A129" s="1">
        <f>A128+100</f>
        <v>1207</v>
      </c>
      <c r="B129" s="1" t="s">
        <v>30</v>
      </c>
      <c r="C129" s="1">
        <v>15</v>
      </c>
      <c r="D129" s="1">
        <v>0</v>
      </c>
      <c r="E129" s="1">
        <f t="shared" ref="E129:E131" si="36">A129-1000</f>
        <v>207</v>
      </c>
    </row>
    <row r="130" spans="1:5" x14ac:dyDescent="0.3">
      <c r="A130" s="1">
        <f>A128+200</f>
        <v>1307</v>
      </c>
      <c r="B130" s="1" t="s">
        <v>31</v>
      </c>
      <c r="C130" s="1">
        <v>1</v>
      </c>
      <c r="D130" s="1">
        <v>2</v>
      </c>
      <c r="E130" s="1">
        <f t="shared" si="36"/>
        <v>307</v>
      </c>
    </row>
    <row r="131" spans="1:5" x14ac:dyDescent="0.3">
      <c r="A131" s="1">
        <f>A128+300</f>
        <v>1407</v>
      </c>
      <c r="B131" s="1" t="s">
        <v>32</v>
      </c>
      <c r="C131" s="1">
        <v>1</v>
      </c>
      <c r="D131" s="1">
        <v>0</v>
      </c>
      <c r="E131" s="1">
        <f t="shared" si="36"/>
        <v>407</v>
      </c>
    </row>
    <row r="132" spans="1:5" x14ac:dyDescent="0.3">
      <c r="A132" s="1">
        <f>A128+1000</f>
        <v>2107</v>
      </c>
      <c r="B132" s="1" t="str">
        <f>B128</f>
        <v>Ice(SP)</v>
      </c>
      <c r="C132" s="1">
        <v>10</v>
      </c>
      <c r="D132" s="1">
        <f>D128</f>
        <v>3</v>
      </c>
      <c r="E132" s="1">
        <f>A132-2000</f>
        <v>107</v>
      </c>
    </row>
    <row r="133" spans="1:5" x14ac:dyDescent="0.3">
      <c r="A133" s="1">
        <f>A129+1000</f>
        <v>2207</v>
      </c>
      <c r="B133" s="1" t="str">
        <f>B129</f>
        <v>Ice(T)</v>
      </c>
      <c r="C133" s="1">
        <v>15</v>
      </c>
      <c r="D133" s="1">
        <v>0</v>
      </c>
      <c r="E133" s="1">
        <f t="shared" ref="E133:E135" si="37">A133-2000</f>
        <v>207</v>
      </c>
    </row>
    <row r="134" spans="1:5" x14ac:dyDescent="0.3">
      <c r="A134" s="1">
        <f t="shared" ref="A134:A147" si="38">A130+1000</f>
        <v>2307</v>
      </c>
      <c r="B134" s="1" t="str">
        <f>B130</f>
        <v>Ice(TR)</v>
      </c>
      <c r="C134" s="1">
        <v>1</v>
      </c>
      <c r="D134" s="1">
        <f>D130</f>
        <v>2</v>
      </c>
      <c r="E134" s="1">
        <f t="shared" si="37"/>
        <v>307</v>
      </c>
    </row>
    <row r="135" spans="1:5" x14ac:dyDescent="0.3">
      <c r="A135" s="1">
        <f t="shared" si="38"/>
        <v>2407</v>
      </c>
      <c r="B135" s="1" t="str">
        <f>B131</f>
        <v>Ice(B)</v>
      </c>
      <c r="C135" s="1">
        <v>1</v>
      </c>
      <c r="D135" s="1">
        <v>0</v>
      </c>
      <c r="E135" s="1">
        <f t="shared" si="37"/>
        <v>407</v>
      </c>
    </row>
    <row r="136" spans="1:5" x14ac:dyDescent="0.3">
      <c r="A136" s="1">
        <f t="shared" si="38"/>
        <v>3107</v>
      </c>
      <c r="B136" s="1" t="str">
        <f>B128</f>
        <v>Ice(SP)</v>
      </c>
      <c r="C136" s="1">
        <v>10</v>
      </c>
      <c r="D136" s="1">
        <f>D128*1.5</f>
        <v>4.5</v>
      </c>
      <c r="E136" s="1">
        <f>A136-3000</f>
        <v>107</v>
      </c>
    </row>
    <row r="137" spans="1:5" x14ac:dyDescent="0.3">
      <c r="A137" s="1">
        <f t="shared" si="38"/>
        <v>3207</v>
      </c>
      <c r="B137" s="1" t="str">
        <f>B129</f>
        <v>Ice(T)</v>
      </c>
      <c r="C137" s="1">
        <v>15</v>
      </c>
      <c r="D137" s="1">
        <v>0</v>
      </c>
      <c r="E137" s="1">
        <f t="shared" ref="E137:E139" si="39">A137-3000</f>
        <v>207</v>
      </c>
    </row>
    <row r="138" spans="1:5" x14ac:dyDescent="0.3">
      <c r="A138" s="1">
        <f t="shared" si="38"/>
        <v>3307</v>
      </c>
      <c r="B138" s="1" t="str">
        <f>B130</f>
        <v>Ice(TR)</v>
      </c>
      <c r="C138" s="1">
        <v>1</v>
      </c>
      <c r="D138" s="1">
        <f>D130*1.5</f>
        <v>3</v>
      </c>
      <c r="E138" s="1">
        <f t="shared" si="39"/>
        <v>307</v>
      </c>
    </row>
    <row r="139" spans="1:5" x14ac:dyDescent="0.3">
      <c r="A139" s="1">
        <f t="shared" si="38"/>
        <v>3407</v>
      </c>
      <c r="B139" s="1" t="str">
        <f>B131</f>
        <v>Ice(B)</v>
      </c>
      <c r="C139" s="1">
        <v>1</v>
      </c>
      <c r="D139" s="1">
        <v>0</v>
      </c>
      <c r="E139" s="1">
        <f t="shared" si="39"/>
        <v>407</v>
      </c>
    </row>
    <row r="140" spans="1:5" x14ac:dyDescent="0.3">
      <c r="A140" s="1">
        <f t="shared" si="38"/>
        <v>4107</v>
      </c>
      <c r="B140" s="1" t="str">
        <f>B128</f>
        <v>Ice(SP)</v>
      </c>
      <c r="C140" s="1">
        <v>10</v>
      </c>
      <c r="D140" s="1">
        <f>D128*2</f>
        <v>6</v>
      </c>
      <c r="E140" s="1">
        <f>A140-4000</f>
        <v>107</v>
      </c>
    </row>
    <row r="141" spans="1:5" x14ac:dyDescent="0.3">
      <c r="A141" s="1">
        <f t="shared" si="38"/>
        <v>4207</v>
      </c>
      <c r="B141" s="1" t="str">
        <f>B129</f>
        <v>Ice(T)</v>
      </c>
      <c r="C141" s="1">
        <v>15</v>
      </c>
      <c r="D141" s="1">
        <v>0</v>
      </c>
      <c r="E141" s="1">
        <f t="shared" ref="E141:E143" si="40">A141-4000</f>
        <v>207</v>
      </c>
    </row>
    <row r="142" spans="1:5" x14ac:dyDescent="0.3">
      <c r="A142" s="1">
        <f t="shared" si="38"/>
        <v>4307</v>
      </c>
      <c r="B142" s="1" t="str">
        <f>B130</f>
        <v>Ice(TR)</v>
      </c>
      <c r="C142" s="1">
        <v>1</v>
      </c>
      <c r="D142" s="1">
        <f>D130*2</f>
        <v>4</v>
      </c>
      <c r="E142" s="1">
        <f t="shared" si="40"/>
        <v>307</v>
      </c>
    </row>
    <row r="143" spans="1:5" x14ac:dyDescent="0.3">
      <c r="A143" s="1">
        <f t="shared" si="38"/>
        <v>4407</v>
      </c>
      <c r="B143" s="1" t="str">
        <f>B131</f>
        <v>Ice(B)</v>
      </c>
      <c r="C143" s="1">
        <v>1</v>
      </c>
      <c r="D143" s="1">
        <v>0</v>
      </c>
      <c r="E143" s="1">
        <f t="shared" si="40"/>
        <v>407</v>
      </c>
    </row>
    <row r="144" spans="1:5" x14ac:dyDescent="0.3">
      <c r="A144" s="1">
        <f t="shared" si="38"/>
        <v>5107</v>
      </c>
      <c r="B144" s="1" t="str">
        <f>B128</f>
        <v>Ice(SP)</v>
      </c>
      <c r="C144" s="1">
        <v>10</v>
      </c>
      <c r="D144" s="1">
        <f>D128*3</f>
        <v>9</v>
      </c>
      <c r="E144" s="1">
        <f>A144-5000</f>
        <v>107</v>
      </c>
    </row>
    <row r="145" spans="1:5" x14ac:dyDescent="0.3">
      <c r="A145" s="1">
        <f t="shared" si="38"/>
        <v>5207</v>
      </c>
      <c r="B145" s="1" t="str">
        <f>B129</f>
        <v>Ice(T)</v>
      </c>
      <c r="C145" s="1">
        <v>15</v>
      </c>
      <c r="D145" s="1">
        <v>0</v>
      </c>
      <c r="E145" s="1">
        <f t="shared" ref="E145:E147" si="41">A145-5000</f>
        <v>207</v>
      </c>
    </row>
    <row r="146" spans="1:5" x14ac:dyDescent="0.3">
      <c r="A146" s="1">
        <f t="shared" si="38"/>
        <v>5307</v>
      </c>
      <c r="B146" s="1" t="str">
        <f>B130</f>
        <v>Ice(TR)</v>
      </c>
      <c r="C146" s="1">
        <v>1</v>
      </c>
      <c r="D146" s="1">
        <f>D130*3</f>
        <v>6</v>
      </c>
      <c r="E146" s="1">
        <f t="shared" si="41"/>
        <v>307</v>
      </c>
    </row>
    <row r="147" spans="1:5" x14ac:dyDescent="0.3">
      <c r="A147" s="1">
        <f t="shared" si="38"/>
        <v>5407</v>
      </c>
      <c r="B147" s="1" t="str">
        <f>B131</f>
        <v>Ice(B)</v>
      </c>
      <c r="C147" s="1">
        <v>1</v>
      </c>
      <c r="D147" s="1">
        <v>0</v>
      </c>
      <c r="E147" s="1">
        <f t="shared" si="41"/>
        <v>407</v>
      </c>
    </row>
    <row r="149" spans="1:5" x14ac:dyDescent="0.3">
      <c r="A149" s="1">
        <v>1108</v>
      </c>
      <c r="B149" s="1" t="s">
        <v>33</v>
      </c>
      <c r="C149" s="1">
        <v>10</v>
      </c>
      <c r="D149" s="1">
        <v>3</v>
      </c>
      <c r="E149" s="1">
        <f>A149-1000</f>
        <v>108</v>
      </c>
    </row>
    <row r="150" spans="1:5" x14ac:dyDescent="0.3">
      <c r="A150" s="1">
        <f>A149+100</f>
        <v>1208</v>
      </c>
      <c r="B150" s="1" t="s">
        <v>34</v>
      </c>
      <c r="C150" s="1">
        <v>15</v>
      </c>
      <c r="D150" s="1">
        <v>0</v>
      </c>
      <c r="E150" s="1">
        <f t="shared" ref="E150:E152" si="42">A150-1000</f>
        <v>208</v>
      </c>
    </row>
    <row r="151" spans="1:5" x14ac:dyDescent="0.3">
      <c r="A151" s="1">
        <f>A149+200</f>
        <v>1308</v>
      </c>
      <c r="B151" s="1" t="s">
        <v>35</v>
      </c>
      <c r="C151" s="1">
        <v>1</v>
      </c>
      <c r="D151" s="1">
        <v>2</v>
      </c>
      <c r="E151" s="1">
        <f t="shared" si="42"/>
        <v>308</v>
      </c>
    </row>
    <row r="152" spans="1:5" x14ac:dyDescent="0.3">
      <c r="A152" s="1">
        <f>A149+300</f>
        <v>1408</v>
      </c>
      <c r="B152" s="1" t="s">
        <v>36</v>
      </c>
      <c r="C152" s="1">
        <v>1</v>
      </c>
      <c r="D152" s="1">
        <v>0</v>
      </c>
      <c r="E152" s="1">
        <f t="shared" si="42"/>
        <v>408</v>
      </c>
    </row>
    <row r="153" spans="1:5" x14ac:dyDescent="0.3">
      <c r="A153" s="1">
        <f>A149+1000</f>
        <v>2108</v>
      </c>
      <c r="B153" s="1" t="str">
        <f>B149</f>
        <v>Electricity(SP)</v>
      </c>
      <c r="C153" s="1">
        <v>10</v>
      </c>
      <c r="D153" s="1">
        <f>D149</f>
        <v>3</v>
      </c>
      <c r="E153" s="1">
        <f>A153-2000</f>
        <v>108</v>
      </c>
    </row>
    <row r="154" spans="1:5" x14ac:dyDescent="0.3">
      <c r="A154" s="1">
        <f>A150+1000</f>
        <v>2208</v>
      </c>
      <c r="B154" s="1" t="str">
        <f>B150</f>
        <v>Electricity(T)</v>
      </c>
      <c r="C154" s="1">
        <v>15</v>
      </c>
      <c r="D154" s="1">
        <v>0</v>
      </c>
      <c r="E154" s="1">
        <f t="shared" ref="E154:E156" si="43">A154-2000</f>
        <v>208</v>
      </c>
    </row>
    <row r="155" spans="1:5" x14ac:dyDescent="0.3">
      <c r="A155" s="1">
        <f t="shared" ref="A155:A168" si="44">A151+1000</f>
        <v>2308</v>
      </c>
      <c r="B155" s="1" t="str">
        <f>B151</f>
        <v>Electricity(TR)</v>
      </c>
      <c r="C155" s="1">
        <v>1</v>
      </c>
      <c r="D155" s="1">
        <f>D151</f>
        <v>2</v>
      </c>
      <c r="E155" s="1">
        <f t="shared" si="43"/>
        <v>308</v>
      </c>
    </row>
    <row r="156" spans="1:5" x14ac:dyDescent="0.3">
      <c r="A156" s="1">
        <f t="shared" si="44"/>
        <v>2408</v>
      </c>
      <c r="B156" s="1" t="str">
        <f>B152</f>
        <v>Electricity(B)</v>
      </c>
      <c r="C156" s="1">
        <v>1</v>
      </c>
      <c r="D156" s="1">
        <v>0</v>
      </c>
      <c r="E156" s="1">
        <f t="shared" si="43"/>
        <v>408</v>
      </c>
    </row>
    <row r="157" spans="1:5" x14ac:dyDescent="0.3">
      <c r="A157" s="1">
        <f t="shared" si="44"/>
        <v>3108</v>
      </c>
      <c r="B157" s="1" t="str">
        <f>B149</f>
        <v>Electricity(SP)</v>
      </c>
      <c r="C157" s="1">
        <v>10</v>
      </c>
      <c r="D157" s="1">
        <f>D149*1.5</f>
        <v>4.5</v>
      </c>
      <c r="E157" s="1">
        <f>A157-3000</f>
        <v>108</v>
      </c>
    </row>
    <row r="158" spans="1:5" x14ac:dyDescent="0.3">
      <c r="A158" s="1">
        <f t="shared" si="44"/>
        <v>3208</v>
      </c>
      <c r="B158" s="1" t="str">
        <f>B150</f>
        <v>Electricity(T)</v>
      </c>
      <c r="C158" s="1">
        <v>15</v>
      </c>
      <c r="D158" s="1">
        <v>0</v>
      </c>
      <c r="E158" s="1">
        <f t="shared" ref="E158:E160" si="45">A158-3000</f>
        <v>208</v>
      </c>
    </row>
    <row r="159" spans="1:5" x14ac:dyDescent="0.3">
      <c r="A159" s="1">
        <f t="shared" si="44"/>
        <v>3308</v>
      </c>
      <c r="B159" s="1" t="str">
        <f>B151</f>
        <v>Electricity(TR)</v>
      </c>
      <c r="C159" s="1">
        <v>1</v>
      </c>
      <c r="D159" s="1">
        <f>D151*1.5</f>
        <v>3</v>
      </c>
      <c r="E159" s="1">
        <f t="shared" si="45"/>
        <v>308</v>
      </c>
    </row>
    <row r="160" spans="1:5" x14ac:dyDescent="0.3">
      <c r="A160" s="1">
        <f t="shared" si="44"/>
        <v>3408</v>
      </c>
      <c r="B160" s="1" t="str">
        <f>B152</f>
        <v>Electricity(B)</v>
      </c>
      <c r="C160" s="1">
        <v>1</v>
      </c>
      <c r="D160" s="1">
        <v>0</v>
      </c>
      <c r="E160" s="1">
        <f t="shared" si="45"/>
        <v>408</v>
      </c>
    </row>
    <row r="161" spans="1:5" x14ac:dyDescent="0.3">
      <c r="A161" s="1">
        <f t="shared" si="44"/>
        <v>4108</v>
      </c>
      <c r="B161" s="1" t="str">
        <f>B149</f>
        <v>Electricity(SP)</v>
      </c>
      <c r="C161" s="1">
        <v>10</v>
      </c>
      <c r="D161" s="1">
        <f>D149*2</f>
        <v>6</v>
      </c>
      <c r="E161" s="1">
        <f>A161-4000</f>
        <v>108</v>
      </c>
    </row>
    <row r="162" spans="1:5" x14ac:dyDescent="0.3">
      <c r="A162" s="1">
        <f t="shared" si="44"/>
        <v>4208</v>
      </c>
      <c r="B162" s="1" t="str">
        <f>B150</f>
        <v>Electricity(T)</v>
      </c>
      <c r="C162" s="1">
        <v>15</v>
      </c>
      <c r="D162" s="1">
        <v>0</v>
      </c>
      <c r="E162" s="1">
        <f t="shared" ref="E162:E164" si="46">A162-4000</f>
        <v>208</v>
      </c>
    </row>
    <row r="163" spans="1:5" x14ac:dyDescent="0.3">
      <c r="A163" s="1">
        <f t="shared" si="44"/>
        <v>4308</v>
      </c>
      <c r="B163" s="1" t="str">
        <f>B151</f>
        <v>Electricity(TR)</v>
      </c>
      <c r="C163" s="1">
        <v>1</v>
      </c>
      <c r="D163" s="1">
        <f>D151*2</f>
        <v>4</v>
      </c>
      <c r="E163" s="1">
        <f t="shared" si="46"/>
        <v>308</v>
      </c>
    </row>
    <row r="164" spans="1:5" x14ac:dyDescent="0.3">
      <c r="A164" s="1">
        <f t="shared" si="44"/>
        <v>4408</v>
      </c>
      <c r="B164" s="1" t="str">
        <f>B152</f>
        <v>Electricity(B)</v>
      </c>
      <c r="C164" s="1">
        <v>1</v>
      </c>
      <c r="D164" s="1">
        <v>0</v>
      </c>
      <c r="E164" s="1">
        <f t="shared" si="46"/>
        <v>408</v>
      </c>
    </row>
    <row r="165" spans="1:5" x14ac:dyDescent="0.3">
      <c r="A165" s="1">
        <f t="shared" si="44"/>
        <v>5108</v>
      </c>
      <c r="B165" s="1" t="str">
        <f>B149</f>
        <v>Electricity(SP)</v>
      </c>
      <c r="C165" s="1">
        <v>10</v>
      </c>
      <c r="D165" s="1">
        <f>D149*3</f>
        <v>9</v>
      </c>
      <c r="E165" s="1">
        <f>A165-5000</f>
        <v>108</v>
      </c>
    </row>
    <row r="166" spans="1:5" x14ac:dyDescent="0.3">
      <c r="A166" s="1">
        <f t="shared" si="44"/>
        <v>5208</v>
      </c>
      <c r="B166" s="1" t="str">
        <f>B150</f>
        <v>Electricity(T)</v>
      </c>
      <c r="C166" s="1">
        <v>15</v>
      </c>
      <c r="D166" s="1">
        <v>0</v>
      </c>
      <c r="E166" s="1">
        <f t="shared" ref="E166:E168" si="47">A166-5000</f>
        <v>208</v>
      </c>
    </row>
    <row r="167" spans="1:5" x14ac:dyDescent="0.3">
      <c r="A167" s="1">
        <f t="shared" si="44"/>
        <v>5308</v>
      </c>
      <c r="B167" s="1" t="str">
        <f>B151</f>
        <v>Electricity(TR)</v>
      </c>
      <c r="C167" s="1">
        <v>1</v>
      </c>
      <c r="D167" s="1">
        <f>D151*3</f>
        <v>6</v>
      </c>
      <c r="E167" s="1">
        <f t="shared" si="47"/>
        <v>308</v>
      </c>
    </row>
    <row r="168" spans="1:5" x14ac:dyDescent="0.3">
      <c r="A168" s="1">
        <f t="shared" si="44"/>
        <v>5408</v>
      </c>
      <c r="B168" s="1" t="str">
        <f>B152</f>
        <v>Electricity(B)</v>
      </c>
      <c r="C168" s="1">
        <v>1</v>
      </c>
      <c r="D168" s="1">
        <v>0</v>
      </c>
      <c r="E168" s="1">
        <f t="shared" si="47"/>
        <v>408</v>
      </c>
    </row>
    <row r="170" spans="1:5" x14ac:dyDescent="0.3">
      <c r="A170" s="1">
        <v>1109</v>
      </c>
      <c r="B170" s="1" t="s">
        <v>37</v>
      </c>
      <c r="C170" s="1">
        <v>10</v>
      </c>
      <c r="D170" s="1">
        <v>3</v>
      </c>
      <c r="E170" s="1">
        <f>A170-1000</f>
        <v>109</v>
      </c>
    </row>
    <row r="171" spans="1:5" x14ac:dyDescent="0.3">
      <c r="A171" s="1">
        <f>A170+100</f>
        <v>1209</v>
      </c>
      <c r="B171" s="1" t="s">
        <v>38</v>
      </c>
      <c r="C171" s="1">
        <v>15</v>
      </c>
      <c r="D171" s="1">
        <v>0</v>
      </c>
      <c r="E171" s="1">
        <f t="shared" ref="E171:E173" si="48">A171-1000</f>
        <v>209</v>
      </c>
    </row>
    <row r="172" spans="1:5" x14ac:dyDescent="0.3">
      <c r="A172" s="1">
        <f>A170+200</f>
        <v>1309</v>
      </c>
      <c r="B172" s="1" t="s">
        <v>39</v>
      </c>
      <c r="C172" s="1">
        <v>1</v>
      </c>
      <c r="D172" s="1">
        <v>2</v>
      </c>
      <c r="E172" s="1">
        <f t="shared" si="48"/>
        <v>309</v>
      </c>
    </row>
    <row r="173" spans="1:5" x14ac:dyDescent="0.3">
      <c r="A173" s="1">
        <f>A170+300</f>
        <v>1409</v>
      </c>
      <c r="B173" s="1" t="s">
        <v>40</v>
      </c>
      <c r="C173" s="1">
        <v>1</v>
      </c>
      <c r="D173" s="1">
        <v>0</v>
      </c>
      <c r="E173" s="1">
        <f t="shared" si="48"/>
        <v>409</v>
      </c>
    </row>
    <row r="174" spans="1:5" x14ac:dyDescent="0.3">
      <c r="A174" s="1">
        <f>A170+1000</f>
        <v>2109</v>
      </c>
      <c r="B174" s="1" t="str">
        <f>B170</f>
        <v>Wind(SP)</v>
      </c>
      <c r="C174" s="1">
        <v>10</v>
      </c>
      <c r="D174" s="1">
        <f>D170</f>
        <v>3</v>
      </c>
      <c r="E174" s="1">
        <f>A174-2000</f>
        <v>109</v>
      </c>
    </row>
    <row r="175" spans="1:5" x14ac:dyDescent="0.3">
      <c r="A175" s="1">
        <f>A171+1000</f>
        <v>2209</v>
      </c>
      <c r="B175" s="1" t="str">
        <f>B171</f>
        <v>Wind(T)</v>
      </c>
      <c r="C175" s="1">
        <v>15</v>
      </c>
      <c r="D175" s="1">
        <v>0</v>
      </c>
      <c r="E175" s="1">
        <f t="shared" ref="E175:E177" si="49">A175-2000</f>
        <v>209</v>
      </c>
    </row>
    <row r="176" spans="1:5" x14ac:dyDescent="0.3">
      <c r="A176" s="1">
        <f t="shared" ref="A176:A189" si="50">A172+1000</f>
        <v>2309</v>
      </c>
      <c r="B176" s="1" t="str">
        <f>B172</f>
        <v>Wind(TR)</v>
      </c>
      <c r="C176" s="1">
        <v>1</v>
      </c>
      <c r="D176" s="1">
        <f>D172</f>
        <v>2</v>
      </c>
      <c r="E176" s="1">
        <f t="shared" si="49"/>
        <v>309</v>
      </c>
    </row>
    <row r="177" spans="1:5" x14ac:dyDescent="0.3">
      <c r="A177" s="1">
        <f t="shared" si="50"/>
        <v>2409</v>
      </c>
      <c r="B177" s="1" t="str">
        <f>B173</f>
        <v>Wind(B)</v>
      </c>
      <c r="C177" s="1">
        <v>1</v>
      </c>
      <c r="D177" s="1">
        <v>0</v>
      </c>
      <c r="E177" s="1">
        <f t="shared" si="49"/>
        <v>409</v>
      </c>
    </row>
    <row r="178" spans="1:5" x14ac:dyDescent="0.3">
      <c r="A178" s="1">
        <f t="shared" si="50"/>
        <v>3109</v>
      </c>
      <c r="B178" s="1" t="str">
        <f>B170</f>
        <v>Wind(SP)</v>
      </c>
      <c r="C178" s="1">
        <v>10</v>
      </c>
      <c r="D178" s="1">
        <f>D170*1.5</f>
        <v>4.5</v>
      </c>
      <c r="E178" s="1">
        <f>A178-3000</f>
        <v>109</v>
      </c>
    </row>
    <row r="179" spans="1:5" x14ac:dyDescent="0.3">
      <c r="A179" s="1">
        <f t="shared" si="50"/>
        <v>3209</v>
      </c>
      <c r="B179" s="1" t="str">
        <f>B171</f>
        <v>Wind(T)</v>
      </c>
      <c r="C179" s="1">
        <v>15</v>
      </c>
      <c r="D179" s="1">
        <v>0</v>
      </c>
      <c r="E179" s="1">
        <f t="shared" ref="E179:E181" si="51">A179-3000</f>
        <v>209</v>
      </c>
    </row>
    <row r="180" spans="1:5" x14ac:dyDescent="0.3">
      <c r="A180" s="1">
        <f t="shared" si="50"/>
        <v>3309</v>
      </c>
      <c r="B180" s="1" t="str">
        <f>B172</f>
        <v>Wind(TR)</v>
      </c>
      <c r="C180" s="1">
        <v>1</v>
      </c>
      <c r="D180" s="1">
        <f>D172*1.5</f>
        <v>3</v>
      </c>
      <c r="E180" s="1">
        <f t="shared" si="51"/>
        <v>309</v>
      </c>
    </row>
    <row r="181" spans="1:5" x14ac:dyDescent="0.3">
      <c r="A181" s="1">
        <f t="shared" si="50"/>
        <v>3409</v>
      </c>
      <c r="B181" s="1" t="str">
        <f>B173</f>
        <v>Wind(B)</v>
      </c>
      <c r="C181" s="1">
        <v>1</v>
      </c>
      <c r="D181" s="1">
        <v>0</v>
      </c>
      <c r="E181" s="1">
        <f t="shared" si="51"/>
        <v>409</v>
      </c>
    </row>
    <row r="182" spans="1:5" x14ac:dyDescent="0.3">
      <c r="A182" s="1">
        <f t="shared" si="50"/>
        <v>4109</v>
      </c>
      <c r="B182" s="1" t="str">
        <f>B170</f>
        <v>Wind(SP)</v>
      </c>
      <c r="C182" s="1">
        <v>10</v>
      </c>
      <c r="D182" s="1">
        <f>D170*2</f>
        <v>6</v>
      </c>
      <c r="E182" s="1">
        <f>A182-4000</f>
        <v>109</v>
      </c>
    </row>
    <row r="183" spans="1:5" x14ac:dyDescent="0.3">
      <c r="A183" s="1">
        <f t="shared" si="50"/>
        <v>4209</v>
      </c>
      <c r="B183" s="1" t="str">
        <f>B171</f>
        <v>Wind(T)</v>
      </c>
      <c r="C183" s="1">
        <v>15</v>
      </c>
      <c r="D183" s="1">
        <v>0</v>
      </c>
      <c r="E183" s="1">
        <f t="shared" ref="E183:E185" si="52">A183-4000</f>
        <v>209</v>
      </c>
    </row>
    <row r="184" spans="1:5" x14ac:dyDescent="0.3">
      <c r="A184" s="1">
        <f t="shared" si="50"/>
        <v>4309</v>
      </c>
      <c r="B184" s="1" t="str">
        <f>B172</f>
        <v>Wind(TR)</v>
      </c>
      <c r="C184" s="1">
        <v>1</v>
      </c>
      <c r="D184" s="1">
        <f>D172*2</f>
        <v>4</v>
      </c>
      <c r="E184" s="1">
        <f t="shared" si="52"/>
        <v>309</v>
      </c>
    </row>
    <row r="185" spans="1:5" x14ac:dyDescent="0.3">
      <c r="A185" s="1">
        <f t="shared" si="50"/>
        <v>4409</v>
      </c>
      <c r="B185" s="1" t="str">
        <f>B173</f>
        <v>Wind(B)</v>
      </c>
      <c r="C185" s="1">
        <v>1</v>
      </c>
      <c r="D185" s="1">
        <v>0</v>
      </c>
      <c r="E185" s="1">
        <f t="shared" si="52"/>
        <v>409</v>
      </c>
    </row>
    <row r="186" spans="1:5" x14ac:dyDescent="0.3">
      <c r="A186" s="1">
        <f t="shared" si="50"/>
        <v>5109</v>
      </c>
      <c r="B186" s="1" t="str">
        <f>B170</f>
        <v>Wind(SP)</v>
      </c>
      <c r="C186" s="1">
        <v>10</v>
      </c>
      <c r="D186" s="1">
        <f>D170*3</f>
        <v>9</v>
      </c>
      <c r="E186" s="1">
        <f>A186-5000</f>
        <v>109</v>
      </c>
    </row>
    <row r="187" spans="1:5" x14ac:dyDescent="0.3">
      <c r="A187" s="1">
        <f t="shared" si="50"/>
        <v>5209</v>
      </c>
      <c r="B187" s="1" t="str">
        <f>B171</f>
        <v>Wind(T)</v>
      </c>
      <c r="C187" s="1">
        <v>15</v>
      </c>
      <c r="D187" s="1">
        <v>0</v>
      </c>
      <c r="E187" s="1">
        <f t="shared" ref="E187:E189" si="53">A187-5000</f>
        <v>209</v>
      </c>
    </row>
    <row r="188" spans="1:5" x14ac:dyDescent="0.3">
      <c r="A188" s="1">
        <f t="shared" si="50"/>
        <v>5309</v>
      </c>
      <c r="B188" s="1" t="str">
        <f>B172</f>
        <v>Wind(TR)</v>
      </c>
      <c r="C188" s="1">
        <v>1</v>
      </c>
      <c r="D188" s="1">
        <f>D172*3</f>
        <v>6</v>
      </c>
      <c r="E188" s="1">
        <f t="shared" si="53"/>
        <v>309</v>
      </c>
    </row>
    <row r="189" spans="1:5" x14ac:dyDescent="0.3">
      <c r="A189" s="1">
        <f t="shared" si="50"/>
        <v>5409</v>
      </c>
      <c r="B189" s="1" t="str">
        <f>B173</f>
        <v>Wind(B)</v>
      </c>
      <c r="C189" s="1">
        <v>1</v>
      </c>
      <c r="D189" s="1">
        <v>0</v>
      </c>
      <c r="E189" s="1">
        <f t="shared" si="53"/>
        <v>409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ProjectileDataCSV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2026-06-29T01:19:19Z</dcterms:created>
  <dcterms:modified xsi:type="dcterms:W3CDTF">2026-07-08T11:16:56Z</dcterms:modified>
</cp:coreProperties>
</file>