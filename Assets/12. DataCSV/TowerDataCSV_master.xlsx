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A 0708\Assets\12. DataCSV\"/>
    </mc:Choice>
  </mc:AlternateContent>
  <xr:revisionPtr revIDLastSave="0" documentId="13_ncr:1_{DE42C343-B107-4D63-B61E-6B9646059FDB}" xr6:coauthVersionLast="47" xr6:coauthVersionMax="47" xr10:uidLastSave="{00000000-0000-0000-0000-000000000000}"/>
  <bookViews>
    <workbookView xWindow="960" yWindow="375" windowWidth="20190" windowHeight="14775" xr2:uid="{4CD5906B-0D9D-4807-8A6F-6E81574F016A}"/>
  </bookViews>
  <sheets>
    <sheet name="TowerData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" i="1" l="1"/>
  <c r="Q50" i="1" s="1"/>
  <c r="R50" i="1" s="1"/>
  <c r="E189" i="1"/>
  <c r="E185" i="1"/>
  <c r="E181" i="1"/>
  <c r="E177" i="1"/>
  <c r="E168" i="1"/>
  <c r="E164" i="1"/>
  <c r="E160" i="1"/>
  <c r="E156" i="1"/>
  <c r="E147" i="1"/>
  <c r="E143" i="1"/>
  <c r="E139" i="1"/>
  <c r="E135" i="1"/>
  <c r="E126" i="1"/>
  <c r="E122" i="1"/>
  <c r="E118" i="1"/>
  <c r="E114" i="1"/>
  <c r="E105" i="1"/>
  <c r="E101" i="1"/>
  <c r="E97" i="1"/>
  <c r="E93" i="1"/>
  <c r="E84" i="1"/>
  <c r="E80" i="1"/>
  <c r="E76" i="1"/>
  <c r="E72" i="1"/>
  <c r="E63" i="1"/>
  <c r="E59" i="1"/>
  <c r="E55" i="1"/>
  <c r="E51" i="1"/>
  <c r="E42" i="1"/>
  <c r="E38" i="1"/>
  <c r="E34" i="1"/>
  <c r="E30" i="1"/>
  <c r="E21" i="1"/>
  <c r="E17" i="1"/>
  <c r="E13" i="1"/>
  <c r="E9" i="1"/>
  <c r="T152" i="1"/>
  <c r="U152" i="1"/>
  <c r="T168" i="1"/>
  <c r="T131" i="1"/>
  <c r="T143" i="1"/>
  <c r="T89" i="1"/>
  <c r="U89" i="1"/>
  <c r="T47" i="1"/>
  <c r="W185" i="1"/>
  <c r="X173" i="1"/>
  <c r="W173" i="1"/>
  <c r="W168" i="1"/>
  <c r="X131" i="1"/>
  <c r="W126" i="1"/>
  <c r="W105" i="1"/>
  <c r="W101" i="1"/>
  <c r="X68" i="1"/>
  <c r="W68" i="1"/>
  <c r="W63" i="1"/>
  <c r="W59" i="1"/>
  <c r="X47" i="1"/>
  <c r="W38" i="1"/>
  <c r="U5" i="1"/>
  <c r="U47" i="1" s="1"/>
  <c r="T5" i="1"/>
  <c r="W131" i="1" s="1"/>
  <c r="T17" i="1"/>
  <c r="T59" i="1" s="1"/>
  <c r="T21" i="1"/>
  <c r="T105" i="1" s="1"/>
  <c r="Q189" i="1"/>
  <c r="Q185" i="1"/>
  <c r="R185" i="1" s="1"/>
  <c r="Q181" i="1"/>
  <c r="Q177" i="1"/>
  <c r="Q173" i="1"/>
  <c r="Q172" i="1"/>
  <c r="R172" i="1" s="1"/>
  <c r="Q171" i="1"/>
  <c r="R171" i="1" s="1"/>
  <c r="Q170" i="1"/>
  <c r="R170" i="1" s="1"/>
  <c r="Q168" i="1"/>
  <c r="Q164" i="1"/>
  <c r="W164" i="1" s="1"/>
  <c r="Q160" i="1"/>
  <c r="T13" i="1" s="1"/>
  <c r="Q156" i="1"/>
  <c r="T9" i="1" s="1"/>
  <c r="Q152" i="1"/>
  <c r="R152" i="1" s="1"/>
  <c r="Q151" i="1"/>
  <c r="R151" i="1" s="1"/>
  <c r="Q150" i="1"/>
  <c r="R150" i="1" s="1"/>
  <c r="Q149" i="1"/>
  <c r="R149" i="1" s="1"/>
  <c r="Q147" i="1"/>
  <c r="Q143" i="1"/>
  <c r="R143" i="1" s="1"/>
  <c r="Q139" i="1"/>
  <c r="Q135" i="1"/>
  <c r="Q131" i="1"/>
  <c r="Q130" i="1"/>
  <c r="R130" i="1" s="1"/>
  <c r="Q129" i="1"/>
  <c r="R129" i="1" s="1"/>
  <c r="Q128" i="1"/>
  <c r="R128" i="1" s="1"/>
  <c r="Q126" i="1"/>
  <c r="Q125" i="1"/>
  <c r="R125" i="1" s="1"/>
  <c r="Q122" i="1"/>
  <c r="Q121" i="1"/>
  <c r="Q118" i="1"/>
  <c r="Q117" i="1"/>
  <c r="R117" i="1" s="1"/>
  <c r="Q114" i="1"/>
  <c r="Q113" i="1"/>
  <c r="Q110" i="1"/>
  <c r="Q109" i="1"/>
  <c r="R109" i="1" s="1"/>
  <c r="Q108" i="1"/>
  <c r="R108" i="1" s="1"/>
  <c r="Q107" i="1"/>
  <c r="R107" i="1" s="1"/>
  <c r="Q105" i="1"/>
  <c r="Q101" i="1"/>
  <c r="R101" i="1" s="1"/>
  <c r="Q97" i="1"/>
  <c r="Q96" i="1"/>
  <c r="Q93" i="1"/>
  <c r="R93" i="1" s="1"/>
  <c r="Q89" i="1"/>
  <c r="R89" i="1" s="1"/>
  <c r="Q88" i="1"/>
  <c r="Q87" i="1"/>
  <c r="R87" i="1" s="1"/>
  <c r="Q86" i="1"/>
  <c r="R86" i="1" s="1"/>
  <c r="Q84" i="1"/>
  <c r="Q80" i="1"/>
  <c r="Q76" i="1"/>
  <c r="Q72" i="1"/>
  <c r="Q68" i="1"/>
  <c r="Q67" i="1"/>
  <c r="R67" i="1" s="1"/>
  <c r="Q66" i="1"/>
  <c r="R66" i="1" s="1"/>
  <c r="Q65" i="1"/>
  <c r="R65" i="1" s="1"/>
  <c r="Q63" i="1"/>
  <c r="Q59" i="1"/>
  <c r="R59" i="1" s="1"/>
  <c r="Q55" i="1"/>
  <c r="Q51" i="1"/>
  <c r="Q47" i="1"/>
  <c r="Q46" i="1"/>
  <c r="R46" i="1" s="1"/>
  <c r="Q45" i="1"/>
  <c r="R45" i="1" s="1"/>
  <c r="Q44" i="1"/>
  <c r="R44" i="1" s="1"/>
  <c r="Q42" i="1"/>
  <c r="Q38" i="1"/>
  <c r="R38" i="1" s="1"/>
  <c r="Q34" i="1"/>
  <c r="Q30" i="1"/>
  <c r="R30" i="1" s="1"/>
  <c r="Q26" i="1"/>
  <c r="Q25" i="1"/>
  <c r="R25" i="1" s="1"/>
  <c r="Q24" i="1"/>
  <c r="R24" i="1" s="1"/>
  <c r="Q23" i="1"/>
  <c r="R23" i="1" s="1"/>
  <c r="Q3" i="1"/>
  <c r="R3" i="1" s="1"/>
  <c r="Q4" i="1"/>
  <c r="R4" i="1" s="1"/>
  <c r="Q5" i="1"/>
  <c r="Q9" i="1"/>
  <c r="Q13" i="1"/>
  <c r="Q17" i="1"/>
  <c r="Q21" i="1"/>
  <c r="Q2" i="1"/>
  <c r="R189" i="1"/>
  <c r="R181" i="1"/>
  <c r="R177" i="1"/>
  <c r="R168" i="1"/>
  <c r="R164" i="1"/>
  <c r="U17" i="1" s="1"/>
  <c r="R156" i="1"/>
  <c r="U9" i="1" s="1"/>
  <c r="R147" i="1"/>
  <c r="R139" i="1"/>
  <c r="R135" i="1"/>
  <c r="R131" i="1"/>
  <c r="R126" i="1"/>
  <c r="R122" i="1"/>
  <c r="R121" i="1"/>
  <c r="R118" i="1"/>
  <c r="R114" i="1"/>
  <c r="R113" i="1"/>
  <c r="R110" i="1"/>
  <c r="R105" i="1"/>
  <c r="R97" i="1"/>
  <c r="R96" i="1"/>
  <c r="R88" i="1"/>
  <c r="R84" i="1"/>
  <c r="R80" i="1"/>
  <c r="R76" i="1"/>
  <c r="R72" i="1"/>
  <c r="R68" i="1"/>
  <c r="R63" i="1"/>
  <c r="R55" i="1"/>
  <c r="R51" i="1"/>
  <c r="R47" i="1"/>
  <c r="R42" i="1"/>
  <c r="R34" i="1"/>
  <c r="R26" i="1"/>
  <c r="R5" i="1"/>
  <c r="R9" i="1"/>
  <c r="R13" i="1"/>
  <c r="R17" i="1"/>
  <c r="R21" i="1"/>
  <c r="B189" i="1"/>
  <c r="B188" i="1"/>
  <c r="B187" i="1"/>
  <c r="O186" i="1"/>
  <c r="J186" i="1"/>
  <c r="B186" i="1"/>
  <c r="B185" i="1"/>
  <c r="B184" i="1"/>
  <c r="B183" i="1"/>
  <c r="O182" i="1"/>
  <c r="J182" i="1"/>
  <c r="B182" i="1"/>
  <c r="J181" i="1"/>
  <c r="J185" i="1" s="1"/>
  <c r="J189" i="1" s="1"/>
  <c r="B181" i="1"/>
  <c r="E180" i="1"/>
  <c r="E184" i="1" s="1"/>
  <c r="E188" i="1" s="1"/>
  <c r="B180" i="1"/>
  <c r="B179" i="1"/>
  <c r="O178" i="1"/>
  <c r="L178" i="1"/>
  <c r="L182" i="1" s="1"/>
  <c r="J178" i="1"/>
  <c r="B178" i="1"/>
  <c r="O177" i="1"/>
  <c r="O181" i="1" s="1"/>
  <c r="O185" i="1" s="1"/>
  <c r="O189" i="1" s="1"/>
  <c r="N177" i="1"/>
  <c r="N181" i="1" s="1"/>
  <c r="N185" i="1" s="1"/>
  <c r="N189" i="1" s="1"/>
  <c r="M177" i="1"/>
  <c r="L177" i="1"/>
  <c r="K177" i="1" s="1"/>
  <c r="J177" i="1"/>
  <c r="B177" i="1"/>
  <c r="M176" i="1"/>
  <c r="L176" i="1"/>
  <c r="L180" i="1" s="1"/>
  <c r="J176" i="1"/>
  <c r="J180" i="1" s="1"/>
  <c r="J184" i="1" s="1"/>
  <c r="J188" i="1" s="1"/>
  <c r="F176" i="1"/>
  <c r="F180" i="1" s="1"/>
  <c r="E176" i="1"/>
  <c r="D176" i="1"/>
  <c r="D180" i="1" s="1"/>
  <c r="D184" i="1" s="1"/>
  <c r="D188" i="1" s="1"/>
  <c r="B176" i="1"/>
  <c r="L175" i="1"/>
  <c r="M175" i="1" s="1"/>
  <c r="J175" i="1"/>
  <c r="J179" i="1" s="1"/>
  <c r="J183" i="1" s="1"/>
  <c r="J187" i="1" s="1"/>
  <c r="I175" i="1"/>
  <c r="I179" i="1" s="1"/>
  <c r="I183" i="1" s="1"/>
  <c r="I187" i="1" s="1"/>
  <c r="H175" i="1"/>
  <c r="H179" i="1" s="1"/>
  <c r="H183" i="1" s="1"/>
  <c r="H187" i="1" s="1"/>
  <c r="F175" i="1"/>
  <c r="F179" i="1" s="1"/>
  <c r="F183" i="1" s="1"/>
  <c r="F187" i="1" s="1"/>
  <c r="E175" i="1"/>
  <c r="E179" i="1" s="1"/>
  <c r="E183" i="1" s="1"/>
  <c r="E187" i="1" s="1"/>
  <c r="D175" i="1"/>
  <c r="B175" i="1"/>
  <c r="O174" i="1"/>
  <c r="L174" i="1"/>
  <c r="M174" i="1" s="1"/>
  <c r="J174" i="1"/>
  <c r="I174" i="1"/>
  <c r="I178" i="1" s="1"/>
  <c r="I182" i="1" s="1"/>
  <c r="I186" i="1" s="1"/>
  <c r="H174" i="1"/>
  <c r="H178" i="1" s="1"/>
  <c r="H182" i="1" s="1"/>
  <c r="H186" i="1" s="1"/>
  <c r="F174" i="1"/>
  <c r="F178" i="1" s="1"/>
  <c r="F182" i="1" s="1"/>
  <c r="F186" i="1" s="1"/>
  <c r="E174" i="1"/>
  <c r="E178" i="1" s="1"/>
  <c r="E182" i="1" s="1"/>
  <c r="E186" i="1" s="1"/>
  <c r="D174" i="1"/>
  <c r="D178" i="1" s="1"/>
  <c r="D182" i="1" s="1"/>
  <c r="D186" i="1" s="1"/>
  <c r="B174" i="1"/>
  <c r="A174" i="1"/>
  <c r="A178" i="1" s="1"/>
  <c r="A182" i="1" s="1"/>
  <c r="A186" i="1" s="1"/>
  <c r="M173" i="1"/>
  <c r="K173" i="1"/>
  <c r="A173" i="1"/>
  <c r="A177" i="1" s="1"/>
  <c r="A181" i="1" s="1"/>
  <c r="A185" i="1" s="1"/>
  <c r="A189" i="1" s="1"/>
  <c r="M172" i="1"/>
  <c r="A172" i="1"/>
  <c r="A176" i="1" s="1"/>
  <c r="A180" i="1" s="1"/>
  <c r="A184" i="1" s="1"/>
  <c r="A188" i="1" s="1"/>
  <c r="M171" i="1"/>
  <c r="A171" i="1"/>
  <c r="A175" i="1" s="1"/>
  <c r="A179" i="1" s="1"/>
  <c r="A183" i="1" s="1"/>
  <c r="A187" i="1" s="1"/>
  <c r="M170" i="1"/>
  <c r="B168" i="1"/>
  <c r="B167" i="1"/>
  <c r="B166" i="1"/>
  <c r="O165" i="1"/>
  <c r="J165" i="1"/>
  <c r="B165" i="1"/>
  <c r="B164" i="1"/>
  <c r="B163" i="1"/>
  <c r="B162" i="1"/>
  <c r="O161" i="1"/>
  <c r="J161" i="1"/>
  <c r="B161" i="1"/>
  <c r="O160" i="1"/>
  <c r="O164" i="1" s="1"/>
  <c r="O168" i="1" s="1"/>
  <c r="J160" i="1"/>
  <c r="J164" i="1" s="1"/>
  <c r="J168" i="1" s="1"/>
  <c r="B160" i="1"/>
  <c r="B159" i="1"/>
  <c r="L158" i="1"/>
  <c r="L162" i="1" s="1"/>
  <c r="J158" i="1"/>
  <c r="J162" i="1" s="1"/>
  <c r="J166" i="1" s="1"/>
  <c r="E158" i="1"/>
  <c r="E162" i="1" s="1"/>
  <c r="E166" i="1" s="1"/>
  <c r="B158" i="1"/>
  <c r="O157" i="1"/>
  <c r="J157" i="1"/>
  <c r="E157" i="1"/>
  <c r="E161" i="1" s="1"/>
  <c r="E165" i="1" s="1"/>
  <c r="B157" i="1"/>
  <c r="O156" i="1"/>
  <c r="N156" i="1"/>
  <c r="N160" i="1" s="1"/>
  <c r="N164" i="1" s="1"/>
  <c r="N168" i="1" s="1"/>
  <c r="L156" i="1"/>
  <c r="M156" i="1" s="1"/>
  <c r="J156" i="1"/>
  <c r="B156" i="1"/>
  <c r="L155" i="1"/>
  <c r="L159" i="1" s="1"/>
  <c r="J155" i="1"/>
  <c r="J159" i="1" s="1"/>
  <c r="J163" i="1" s="1"/>
  <c r="J167" i="1" s="1"/>
  <c r="F155" i="1"/>
  <c r="F159" i="1" s="1"/>
  <c r="F163" i="1" s="1"/>
  <c r="F167" i="1" s="1"/>
  <c r="E155" i="1"/>
  <c r="E159" i="1" s="1"/>
  <c r="E163" i="1" s="1"/>
  <c r="E167" i="1" s="1"/>
  <c r="D155" i="1"/>
  <c r="D159" i="1" s="1"/>
  <c r="D163" i="1" s="1"/>
  <c r="D167" i="1" s="1"/>
  <c r="Q167" i="1" s="1"/>
  <c r="R167" i="1" s="1"/>
  <c r="B155" i="1"/>
  <c r="L154" i="1"/>
  <c r="M154" i="1" s="1"/>
  <c r="J154" i="1"/>
  <c r="I154" i="1"/>
  <c r="I158" i="1" s="1"/>
  <c r="I162" i="1" s="1"/>
  <c r="I166" i="1" s="1"/>
  <c r="H154" i="1"/>
  <c r="H158" i="1" s="1"/>
  <c r="H162" i="1" s="1"/>
  <c r="H166" i="1" s="1"/>
  <c r="F154" i="1"/>
  <c r="F158" i="1" s="1"/>
  <c r="F162" i="1" s="1"/>
  <c r="F166" i="1" s="1"/>
  <c r="E154" i="1"/>
  <c r="D154" i="1"/>
  <c r="D158" i="1" s="1"/>
  <c r="D162" i="1" s="1"/>
  <c r="D166" i="1" s="1"/>
  <c r="B154" i="1"/>
  <c r="O153" i="1"/>
  <c r="L153" i="1"/>
  <c r="M153" i="1" s="1"/>
  <c r="J153" i="1"/>
  <c r="I153" i="1"/>
  <c r="I157" i="1" s="1"/>
  <c r="I161" i="1" s="1"/>
  <c r="I165" i="1" s="1"/>
  <c r="H153" i="1"/>
  <c r="H157" i="1" s="1"/>
  <c r="H161" i="1" s="1"/>
  <c r="H165" i="1" s="1"/>
  <c r="F153" i="1"/>
  <c r="F157" i="1" s="1"/>
  <c r="F161" i="1" s="1"/>
  <c r="F165" i="1" s="1"/>
  <c r="E153" i="1"/>
  <c r="D153" i="1"/>
  <c r="D157" i="1" s="1"/>
  <c r="D161" i="1" s="1"/>
  <c r="D165" i="1" s="1"/>
  <c r="Q165" i="1" s="1"/>
  <c r="B153" i="1"/>
  <c r="A153" i="1"/>
  <c r="A157" i="1" s="1"/>
  <c r="A161" i="1" s="1"/>
  <c r="A165" i="1" s="1"/>
  <c r="M152" i="1"/>
  <c r="A152" i="1"/>
  <c r="A156" i="1" s="1"/>
  <c r="A160" i="1" s="1"/>
  <c r="A164" i="1" s="1"/>
  <c r="A168" i="1" s="1"/>
  <c r="M151" i="1"/>
  <c r="A151" i="1"/>
  <c r="A155" i="1" s="1"/>
  <c r="A159" i="1" s="1"/>
  <c r="A163" i="1" s="1"/>
  <c r="A167" i="1" s="1"/>
  <c r="M150" i="1"/>
  <c r="A150" i="1"/>
  <c r="A154" i="1" s="1"/>
  <c r="A158" i="1" s="1"/>
  <c r="A162" i="1" s="1"/>
  <c r="A166" i="1" s="1"/>
  <c r="M149" i="1"/>
  <c r="B147" i="1"/>
  <c r="B146" i="1"/>
  <c r="B145" i="1"/>
  <c r="O144" i="1"/>
  <c r="J144" i="1"/>
  <c r="B144" i="1"/>
  <c r="B143" i="1"/>
  <c r="B142" i="1"/>
  <c r="B141" i="1"/>
  <c r="O140" i="1"/>
  <c r="J140" i="1"/>
  <c r="B140" i="1"/>
  <c r="L139" i="1"/>
  <c r="K139" i="1" s="1"/>
  <c r="B139" i="1"/>
  <c r="B138" i="1"/>
  <c r="L137" i="1"/>
  <c r="L141" i="1" s="1"/>
  <c r="J137" i="1"/>
  <c r="J141" i="1" s="1"/>
  <c r="J145" i="1" s="1"/>
  <c r="E137" i="1"/>
  <c r="E141" i="1" s="1"/>
  <c r="E145" i="1" s="1"/>
  <c r="B137" i="1"/>
  <c r="O136" i="1"/>
  <c r="J136" i="1"/>
  <c r="E136" i="1"/>
  <c r="E140" i="1" s="1"/>
  <c r="E144" i="1" s="1"/>
  <c r="B136" i="1"/>
  <c r="O135" i="1"/>
  <c r="O139" i="1" s="1"/>
  <c r="O143" i="1" s="1"/>
  <c r="O147" i="1" s="1"/>
  <c r="N135" i="1"/>
  <c r="N139" i="1" s="1"/>
  <c r="N143" i="1" s="1"/>
  <c r="N147" i="1" s="1"/>
  <c r="L135" i="1"/>
  <c r="M135" i="1" s="1"/>
  <c r="J135" i="1"/>
  <c r="J139" i="1" s="1"/>
  <c r="J143" i="1" s="1"/>
  <c r="J147" i="1" s="1"/>
  <c r="B135" i="1"/>
  <c r="M134" i="1"/>
  <c r="L134" i="1"/>
  <c r="L138" i="1" s="1"/>
  <c r="J134" i="1"/>
  <c r="J138" i="1" s="1"/>
  <c r="J142" i="1" s="1"/>
  <c r="J146" i="1" s="1"/>
  <c r="F134" i="1"/>
  <c r="F138" i="1" s="1"/>
  <c r="F142" i="1" s="1"/>
  <c r="F146" i="1" s="1"/>
  <c r="E134" i="1"/>
  <c r="E138" i="1" s="1"/>
  <c r="E142" i="1" s="1"/>
  <c r="E146" i="1" s="1"/>
  <c r="D134" i="1"/>
  <c r="D138" i="1" s="1"/>
  <c r="D142" i="1" s="1"/>
  <c r="D146" i="1" s="1"/>
  <c r="Q146" i="1" s="1"/>
  <c r="R146" i="1" s="1"/>
  <c r="B134" i="1"/>
  <c r="M133" i="1"/>
  <c r="L133" i="1"/>
  <c r="J133" i="1"/>
  <c r="I133" i="1"/>
  <c r="I137" i="1" s="1"/>
  <c r="I141" i="1" s="1"/>
  <c r="I145" i="1" s="1"/>
  <c r="H133" i="1"/>
  <c r="H137" i="1" s="1"/>
  <c r="H141" i="1" s="1"/>
  <c r="H145" i="1" s="1"/>
  <c r="F133" i="1"/>
  <c r="F137" i="1" s="1"/>
  <c r="F141" i="1" s="1"/>
  <c r="F145" i="1" s="1"/>
  <c r="E133" i="1"/>
  <c r="D133" i="1"/>
  <c r="D137" i="1" s="1"/>
  <c r="D141" i="1" s="1"/>
  <c r="D145" i="1" s="1"/>
  <c r="Q145" i="1" s="1"/>
  <c r="B133" i="1"/>
  <c r="O132" i="1"/>
  <c r="L132" i="1"/>
  <c r="M132" i="1" s="1"/>
  <c r="J132" i="1"/>
  <c r="I132" i="1"/>
  <c r="I136" i="1" s="1"/>
  <c r="I140" i="1" s="1"/>
  <c r="I144" i="1" s="1"/>
  <c r="H132" i="1"/>
  <c r="H136" i="1" s="1"/>
  <c r="H140" i="1" s="1"/>
  <c r="H144" i="1" s="1"/>
  <c r="F132" i="1"/>
  <c r="F136" i="1" s="1"/>
  <c r="F140" i="1" s="1"/>
  <c r="F144" i="1" s="1"/>
  <c r="E132" i="1"/>
  <c r="D132" i="1"/>
  <c r="D136" i="1" s="1"/>
  <c r="D140" i="1" s="1"/>
  <c r="D144" i="1" s="1"/>
  <c r="Q144" i="1" s="1"/>
  <c r="B132" i="1"/>
  <c r="A132" i="1"/>
  <c r="A136" i="1" s="1"/>
  <c r="A140" i="1" s="1"/>
  <c r="A144" i="1" s="1"/>
  <c r="M131" i="1"/>
  <c r="K131" i="1"/>
  <c r="A131" i="1"/>
  <c r="A135" i="1" s="1"/>
  <c r="A139" i="1" s="1"/>
  <c r="A143" i="1" s="1"/>
  <c r="A147" i="1" s="1"/>
  <c r="M130" i="1"/>
  <c r="A130" i="1"/>
  <c r="A134" i="1" s="1"/>
  <c r="A138" i="1" s="1"/>
  <c r="A142" i="1" s="1"/>
  <c r="A146" i="1" s="1"/>
  <c r="M129" i="1"/>
  <c r="A129" i="1"/>
  <c r="A133" i="1" s="1"/>
  <c r="A137" i="1" s="1"/>
  <c r="A141" i="1" s="1"/>
  <c r="A145" i="1" s="1"/>
  <c r="M128" i="1"/>
  <c r="O111" i="1"/>
  <c r="O123" i="1"/>
  <c r="O119" i="1"/>
  <c r="O115" i="1"/>
  <c r="O114" i="1"/>
  <c r="O118" i="1" s="1"/>
  <c r="O122" i="1" s="1"/>
  <c r="O126" i="1" s="1"/>
  <c r="B126" i="1"/>
  <c r="B125" i="1"/>
  <c r="B124" i="1"/>
  <c r="J123" i="1"/>
  <c r="B123" i="1"/>
  <c r="B122" i="1"/>
  <c r="B121" i="1"/>
  <c r="B120" i="1"/>
  <c r="J119" i="1"/>
  <c r="B119" i="1"/>
  <c r="J118" i="1"/>
  <c r="J122" i="1" s="1"/>
  <c r="J126" i="1" s="1"/>
  <c r="B118" i="1"/>
  <c r="B117" i="1"/>
  <c r="B116" i="1"/>
  <c r="J115" i="1"/>
  <c r="B115" i="1"/>
  <c r="N114" i="1"/>
  <c r="N118" i="1" s="1"/>
  <c r="N122" i="1" s="1"/>
  <c r="N126" i="1" s="1"/>
  <c r="L114" i="1"/>
  <c r="L118" i="1" s="1"/>
  <c r="J114" i="1"/>
  <c r="B114" i="1"/>
  <c r="L113" i="1"/>
  <c r="L117" i="1" s="1"/>
  <c r="J113" i="1"/>
  <c r="J117" i="1" s="1"/>
  <c r="J121" i="1" s="1"/>
  <c r="J125" i="1" s="1"/>
  <c r="F113" i="1"/>
  <c r="F117" i="1" s="1"/>
  <c r="F121" i="1" s="1"/>
  <c r="F125" i="1" s="1"/>
  <c r="E113" i="1"/>
  <c r="E117" i="1" s="1"/>
  <c r="E121" i="1" s="1"/>
  <c r="E125" i="1" s="1"/>
  <c r="D113" i="1"/>
  <c r="D117" i="1" s="1"/>
  <c r="D121" i="1" s="1"/>
  <c r="D125" i="1" s="1"/>
  <c r="B113" i="1"/>
  <c r="L112" i="1"/>
  <c r="L116" i="1" s="1"/>
  <c r="J112" i="1"/>
  <c r="J116" i="1" s="1"/>
  <c r="J120" i="1" s="1"/>
  <c r="J124" i="1" s="1"/>
  <c r="I112" i="1"/>
  <c r="I116" i="1" s="1"/>
  <c r="I120" i="1" s="1"/>
  <c r="I124" i="1" s="1"/>
  <c r="H112" i="1"/>
  <c r="H116" i="1" s="1"/>
  <c r="H120" i="1" s="1"/>
  <c r="H124" i="1" s="1"/>
  <c r="F112" i="1"/>
  <c r="F116" i="1" s="1"/>
  <c r="F120" i="1" s="1"/>
  <c r="F124" i="1" s="1"/>
  <c r="Q124" i="1" s="1"/>
  <c r="E112" i="1"/>
  <c r="E116" i="1" s="1"/>
  <c r="E120" i="1" s="1"/>
  <c r="E124" i="1" s="1"/>
  <c r="D112" i="1"/>
  <c r="D116" i="1" s="1"/>
  <c r="D120" i="1" s="1"/>
  <c r="D124" i="1" s="1"/>
  <c r="B112" i="1"/>
  <c r="L111" i="1"/>
  <c r="L115" i="1" s="1"/>
  <c r="J111" i="1"/>
  <c r="I111" i="1"/>
  <c r="I115" i="1" s="1"/>
  <c r="I119" i="1" s="1"/>
  <c r="I123" i="1" s="1"/>
  <c r="H111" i="1"/>
  <c r="H115" i="1" s="1"/>
  <c r="H119" i="1" s="1"/>
  <c r="H123" i="1" s="1"/>
  <c r="F111" i="1"/>
  <c r="F115" i="1" s="1"/>
  <c r="F119" i="1" s="1"/>
  <c r="F123" i="1" s="1"/>
  <c r="E111" i="1"/>
  <c r="E115" i="1" s="1"/>
  <c r="E119" i="1" s="1"/>
  <c r="E123" i="1" s="1"/>
  <c r="D111" i="1"/>
  <c r="D115" i="1" s="1"/>
  <c r="D119" i="1" s="1"/>
  <c r="D123" i="1" s="1"/>
  <c r="B111" i="1"/>
  <c r="M110" i="1"/>
  <c r="M109" i="1"/>
  <c r="M108" i="1"/>
  <c r="M107" i="1"/>
  <c r="A113" i="1"/>
  <c r="A117" i="1" s="1"/>
  <c r="A121" i="1" s="1"/>
  <c r="A125" i="1" s="1"/>
  <c r="A111" i="1"/>
  <c r="A115" i="1" s="1"/>
  <c r="A119" i="1" s="1"/>
  <c r="A123" i="1" s="1"/>
  <c r="A110" i="1"/>
  <c r="A114" i="1" s="1"/>
  <c r="A118" i="1" s="1"/>
  <c r="A122" i="1" s="1"/>
  <c r="A126" i="1" s="1"/>
  <c r="A109" i="1"/>
  <c r="A108" i="1"/>
  <c r="A112" i="1" s="1"/>
  <c r="A116" i="1" s="1"/>
  <c r="A120" i="1" s="1"/>
  <c r="A124" i="1" s="1"/>
  <c r="O60" i="1"/>
  <c r="O56" i="1"/>
  <c r="O52" i="1"/>
  <c r="O48" i="1"/>
  <c r="K105" i="1"/>
  <c r="K101" i="1"/>
  <c r="K97" i="1"/>
  <c r="K93" i="1"/>
  <c r="K89" i="1"/>
  <c r="K84" i="1"/>
  <c r="K80" i="1"/>
  <c r="K76" i="1"/>
  <c r="K72" i="1"/>
  <c r="K68" i="1"/>
  <c r="K63" i="1"/>
  <c r="K59" i="1"/>
  <c r="K55" i="1"/>
  <c r="K51" i="1"/>
  <c r="K47" i="1"/>
  <c r="K42" i="1"/>
  <c r="K38" i="1"/>
  <c r="K34" i="1"/>
  <c r="K30" i="1"/>
  <c r="K26" i="1"/>
  <c r="K17" i="1"/>
  <c r="K13" i="1"/>
  <c r="K9" i="1"/>
  <c r="K5" i="1"/>
  <c r="J102" i="1"/>
  <c r="J98" i="1"/>
  <c r="J95" i="1"/>
  <c r="J99" i="1" s="1"/>
  <c r="J103" i="1" s="1"/>
  <c r="J94" i="1"/>
  <c r="J93" i="1"/>
  <c r="J97" i="1" s="1"/>
  <c r="J101" i="1" s="1"/>
  <c r="J105" i="1" s="1"/>
  <c r="J92" i="1"/>
  <c r="J96" i="1" s="1"/>
  <c r="J100" i="1" s="1"/>
  <c r="J104" i="1" s="1"/>
  <c r="J91" i="1"/>
  <c r="J90" i="1"/>
  <c r="J81" i="1"/>
  <c r="J77" i="1"/>
  <c r="J73" i="1"/>
  <c r="J72" i="1"/>
  <c r="J76" i="1" s="1"/>
  <c r="J80" i="1" s="1"/>
  <c r="J84" i="1" s="1"/>
  <c r="J71" i="1"/>
  <c r="J75" i="1" s="1"/>
  <c r="J79" i="1" s="1"/>
  <c r="J83" i="1" s="1"/>
  <c r="J70" i="1"/>
  <c r="J74" i="1" s="1"/>
  <c r="J78" i="1" s="1"/>
  <c r="J82" i="1" s="1"/>
  <c r="J69" i="1"/>
  <c r="J60" i="1"/>
  <c r="J56" i="1"/>
  <c r="J53" i="1"/>
  <c r="J57" i="1" s="1"/>
  <c r="J61" i="1" s="1"/>
  <c r="J52" i="1"/>
  <c r="J51" i="1"/>
  <c r="J55" i="1" s="1"/>
  <c r="J59" i="1" s="1"/>
  <c r="J63" i="1" s="1"/>
  <c r="J50" i="1"/>
  <c r="J54" i="1" s="1"/>
  <c r="J58" i="1" s="1"/>
  <c r="J62" i="1" s="1"/>
  <c r="J49" i="1"/>
  <c r="J48" i="1"/>
  <c r="J39" i="1"/>
  <c r="J35" i="1"/>
  <c r="J32" i="1"/>
  <c r="J36" i="1" s="1"/>
  <c r="J40" i="1" s="1"/>
  <c r="J31" i="1"/>
  <c r="J30" i="1"/>
  <c r="J34" i="1" s="1"/>
  <c r="J38" i="1" s="1"/>
  <c r="J42" i="1" s="1"/>
  <c r="J29" i="1"/>
  <c r="J33" i="1" s="1"/>
  <c r="J37" i="1" s="1"/>
  <c r="J41" i="1" s="1"/>
  <c r="J28" i="1"/>
  <c r="J27" i="1"/>
  <c r="D92" i="1"/>
  <c r="D96" i="1" s="1"/>
  <c r="D100" i="1" s="1"/>
  <c r="D104" i="1" s="1"/>
  <c r="Q104" i="1" s="1"/>
  <c r="R104" i="1" s="1"/>
  <c r="D91" i="1"/>
  <c r="D95" i="1" s="1"/>
  <c r="D99" i="1" s="1"/>
  <c r="D103" i="1" s="1"/>
  <c r="D90" i="1"/>
  <c r="D94" i="1" s="1"/>
  <c r="D98" i="1" s="1"/>
  <c r="D102" i="1" s="1"/>
  <c r="D71" i="1"/>
  <c r="D75" i="1" s="1"/>
  <c r="D79" i="1" s="1"/>
  <c r="D83" i="1" s="1"/>
  <c r="D70" i="1"/>
  <c r="D74" i="1" s="1"/>
  <c r="D78" i="1" s="1"/>
  <c r="D82" i="1" s="1"/>
  <c r="D69" i="1"/>
  <c r="D73" i="1" s="1"/>
  <c r="D77" i="1" s="1"/>
  <c r="D81" i="1" s="1"/>
  <c r="D50" i="1"/>
  <c r="D54" i="1" s="1"/>
  <c r="D58" i="1" s="1"/>
  <c r="D62" i="1" s="1"/>
  <c r="D49" i="1"/>
  <c r="D53" i="1" s="1"/>
  <c r="D57" i="1" s="1"/>
  <c r="D61" i="1" s="1"/>
  <c r="D48" i="1"/>
  <c r="D52" i="1" s="1"/>
  <c r="D56" i="1" s="1"/>
  <c r="D60" i="1" s="1"/>
  <c r="D29" i="1"/>
  <c r="D33" i="1" s="1"/>
  <c r="D37" i="1" s="1"/>
  <c r="D41" i="1" s="1"/>
  <c r="D28" i="1"/>
  <c r="D32" i="1" s="1"/>
  <c r="D36" i="1" s="1"/>
  <c r="D40" i="1" s="1"/>
  <c r="D27" i="1"/>
  <c r="D31" i="1" s="1"/>
  <c r="D35" i="1" s="1"/>
  <c r="D39" i="1" s="1"/>
  <c r="K21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4" i="1"/>
  <c r="M3" i="1"/>
  <c r="M2" i="1"/>
  <c r="M5" i="1"/>
  <c r="J14" i="1"/>
  <c r="J18" i="1"/>
  <c r="J10" i="1"/>
  <c r="J6" i="1"/>
  <c r="J9" i="1"/>
  <c r="J13" i="1" s="1"/>
  <c r="J17" i="1" s="1"/>
  <c r="J21" i="1" s="1"/>
  <c r="J8" i="1"/>
  <c r="J12" i="1" s="1"/>
  <c r="J16" i="1" s="1"/>
  <c r="J20" i="1" s="1"/>
  <c r="J7" i="1"/>
  <c r="J11" i="1" s="1"/>
  <c r="J15" i="1" s="1"/>
  <c r="J19" i="1" s="1"/>
  <c r="I91" i="1"/>
  <c r="I95" i="1" s="1"/>
  <c r="I99" i="1" s="1"/>
  <c r="I103" i="1" s="1"/>
  <c r="I90" i="1"/>
  <c r="I94" i="1" s="1"/>
  <c r="I98" i="1" s="1"/>
  <c r="I102" i="1" s="1"/>
  <c r="I70" i="1"/>
  <c r="I74" i="1" s="1"/>
  <c r="I78" i="1" s="1"/>
  <c r="I82" i="1" s="1"/>
  <c r="I69" i="1"/>
  <c r="I73" i="1" s="1"/>
  <c r="I77" i="1" s="1"/>
  <c r="I81" i="1" s="1"/>
  <c r="I49" i="1"/>
  <c r="I53" i="1" s="1"/>
  <c r="I57" i="1" s="1"/>
  <c r="I61" i="1" s="1"/>
  <c r="I48" i="1"/>
  <c r="I52" i="1" s="1"/>
  <c r="I56" i="1" s="1"/>
  <c r="I60" i="1" s="1"/>
  <c r="I28" i="1"/>
  <c r="I32" i="1" s="1"/>
  <c r="I36" i="1" s="1"/>
  <c r="I40" i="1" s="1"/>
  <c r="I27" i="1"/>
  <c r="I31" i="1" s="1"/>
  <c r="I35" i="1" s="1"/>
  <c r="I39" i="1" s="1"/>
  <c r="I7" i="1"/>
  <c r="I11" i="1" s="1"/>
  <c r="I15" i="1" s="1"/>
  <c r="I19" i="1" s="1"/>
  <c r="I6" i="1"/>
  <c r="I10" i="1" s="1"/>
  <c r="I14" i="1" s="1"/>
  <c r="I18" i="1" s="1"/>
  <c r="H91" i="1"/>
  <c r="H95" i="1" s="1"/>
  <c r="H99" i="1" s="1"/>
  <c r="H103" i="1" s="1"/>
  <c r="H90" i="1"/>
  <c r="H94" i="1" s="1"/>
  <c r="H98" i="1" s="1"/>
  <c r="H102" i="1" s="1"/>
  <c r="H70" i="1"/>
  <c r="H74" i="1" s="1"/>
  <c r="H78" i="1" s="1"/>
  <c r="H82" i="1" s="1"/>
  <c r="H69" i="1"/>
  <c r="H73" i="1" s="1"/>
  <c r="H77" i="1" s="1"/>
  <c r="H81" i="1" s="1"/>
  <c r="H49" i="1"/>
  <c r="H53" i="1" s="1"/>
  <c r="H57" i="1" s="1"/>
  <c r="H61" i="1" s="1"/>
  <c r="H48" i="1"/>
  <c r="H52" i="1" s="1"/>
  <c r="H56" i="1" s="1"/>
  <c r="H60" i="1" s="1"/>
  <c r="H28" i="1"/>
  <c r="H32" i="1" s="1"/>
  <c r="H36" i="1" s="1"/>
  <c r="H40" i="1" s="1"/>
  <c r="H27" i="1"/>
  <c r="H31" i="1" s="1"/>
  <c r="H35" i="1" s="1"/>
  <c r="H39" i="1" s="1"/>
  <c r="H7" i="1"/>
  <c r="H11" i="1" s="1"/>
  <c r="H15" i="1" s="1"/>
  <c r="H19" i="1" s="1"/>
  <c r="H6" i="1"/>
  <c r="H10" i="1" s="1"/>
  <c r="H14" i="1" s="1"/>
  <c r="H18" i="1" s="1"/>
  <c r="D8" i="1"/>
  <c r="D12" i="1" s="1"/>
  <c r="D16" i="1" s="1"/>
  <c r="D20" i="1" s="1"/>
  <c r="D7" i="1"/>
  <c r="D11" i="1" s="1"/>
  <c r="D15" i="1" s="1"/>
  <c r="D6" i="1"/>
  <c r="D10" i="1" s="1"/>
  <c r="D14" i="1" s="1"/>
  <c r="D18" i="1" s="1"/>
  <c r="F92" i="1"/>
  <c r="F91" i="1"/>
  <c r="Q91" i="1" s="1"/>
  <c r="F90" i="1"/>
  <c r="Q90" i="1" s="1"/>
  <c r="F71" i="1"/>
  <c r="Q71" i="1" s="1"/>
  <c r="R71" i="1" s="1"/>
  <c r="F70" i="1"/>
  <c r="F69" i="1"/>
  <c r="F49" i="1"/>
  <c r="F48" i="1"/>
  <c r="F29" i="1"/>
  <c r="F28" i="1"/>
  <c r="F27" i="1"/>
  <c r="F8" i="1"/>
  <c r="F7" i="1"/>
  <c r="F6" i="1"/>
  <c r="E6" i="1"/>
  <c r="E10" i="1" s="1"/>
  <c r="E7" i="1"/>
  <c r="E11" i="1" s="1"/>
  <c r="E8" i="1"/>
  <c r="E12" i="1" s="1"/>
  <c r="E92" i="1"/>
  <c r="E96" i="1" s="1"/>
  <c r="E100" i="1" s="1"/>
  <c r="E104" i="1" s="1"/>
  <c r="E91" i="1"/>
  <c r="E95" i="1" s="1"/>
  <c r="E99" i="1" s="1"/>
  <c r="E103" i="1" s="1"/>
  <c r="E90" i="1"/>
  <c r="E94" i="1" s="1"/>
  <c r="E98" i="1" s="1"/>
  <c r="E102" i="1" s="1"/>
  <c r="E71" i="1"/>
  <c r="E75" i="1" s="1"/>
  <c r="E79" i="1" s="1"/>
  <c r="E83" i="1" s="1"/>
  <c r="E70" i="1"/>
  <c r="E74" i="1" s="1"/>
  <c r="E78" i="1" s="1"/>
  <c r="E82" i="1" s="1"/>
  <c r="E69" i="1"/>
  <c r="E73" i="1" s="1"/>
  <c r="E77" i="1" s="1"/>
  <c r="E81" i="1" s="1"/>
  <c r="E50" i="1"/>
  <c r="E54" i="1" s="1"/>
  <c r="E58" i="1" s="1"/>
  <c r="E62" i="1" s="1"/>
  <c r="E49" i="1"/>
  <c r="E53" i="1" s="1"/>
  <c r="E57" i="1" s="1"/>
  <c r="E61" i="1" s="1"/>
  <c r="E48" i="1"/>
  <c r="E52" i="1" s="1"/>
  <c r="E56" i="1" s="1"/>
  <c r="E60" i="1" s="1"/>
  <c r="E29" i="1"/>
  <c r="E33" i="1" s="1"/>
  <c r="E37" i="1" s="1"/>
  <c r="E41" i="1" s="1"/>
  <c r="E28" i="1"/>
  <c r="E32" i="1" s="1"/>
  <c r="E36" i="1" s="1"/>
  <c r="E40" i="1" s="1"/>
  <c r="E27" i="1"/>
  <c r="E31" i="1" s="1"/>
  <c r="E35" i="1" s="1"/>
  <c r="E39" i="1" s="1"/>
  <c r="L93" i="1"/>
  <c r="L97" i="1" s="1"/>
  <c r="L101" i="1" s="1"/>
  <c r="L105" i="1" s="1"/>
  <c r="L92" i="1"/>
  <c r="L96" i="1" s="1"/>
  <c r="L100" i="1" s="1"/>
  <c r="L104" i="1" s="1"/>
  <c r="L91" i="1"/>
  <c r="L95" i="1" s="1"/>
  <c r="L99" i="1" s="1"/>
  <c r="L103" i="1" s="1"/>
  <c r="L90" i="1"/>
  <c r="L94" i="1" s="1"/>
  <c r="L98" i="1" s="1"/>
  <c r="L102" i="1" s="1"/>
  <c r="L72" i="1"/>
  <c r="L76" i="1" s="1"/>
  <c r="L80" i="1" s="1"/>
  <c r="L84" i="1" s="1"/>
  <c r="L71" i="1"/>
  <c r="L75" i="1" s="1"/>
  <c r="L79" i="1" s="1"/>
  <c r="L83" i="1" s="1"/>
  <c r="L70" i="1"/>
  <c r="L74" i="1" s="1"/>
  <c r="L78" i="1" s="1"/>
  <c r="L82" i="1" s="1"/>
  <c r="L69" i="1"/>
  <c r="L73" i="1" s="1"/>
  <c r="L77" i="1" s="1"/>
  <c r="L81" i="1" s="1"/>
  <c r="L51" i="1"/>
  <c r="L55" i="1" s="1"/>
  <c r="L59" i="1" s="1"/>
  <c r="L63" i="1" s="1"/>
  <c r="L50" i="1"/>
  <c r="L54" i="1" s="1"/>
  <c r="L58" i="1" s="1"/>
  <c r="L62" i="1" s="1"/>
  <c r="L49" i="1"/>
  <c r="L53" i="1" s="1"/>
  <c r="L57" i="1" s="1"/>
  <c r="L61" i="1" s="1"/>
  <c r="L48" i="1"/>
  <c r="L52" i="1" s="1"/>
  <c r="L56" i="1" s="1"/>
  <c r="L60" i="1" s="1"/>
  <c r="L30" i="1"/>
  <c r="L34" i="1" s="1"/>
  <c r="L38" i="1" s="1"/>
  <c r="L42" i="1" s="1"/>
  <c r="L29" i="1"/>
  <c r="L33" i="1" s="1"/>
  <c r="L37" i="1" s="1"/>
  <c r="L41" i="1" s="1"/>
  <c r="L28" i="1"/>
  <c r="L32" i="1" s="1"/>
  <c r="L36" i="1" s="1"/>
  <c r="L40" i="1" s="1"/>
  <c r="L27" i="1"/>
  <c r="L31" i="1" s="1"/>
  <c r="L35" i="1" s="1"/>
  <c r="L39" i="1" s="1"/>
  <c r="L7" i="1"/>
  <c r="L11" i="1" s="1"/>
  <c r="L15" i="1" s="1"/>
  <c r="L19" i="1" s="1"/>
  <c r="L9" i="1"/>
  <c r="L13" i="1" s="1"/>
  <c r="L17" i="1" s="1"/>
  <c r="L21" i="1" s="1"/>
  <c r="L8" i="1"/>
  <c r="L12" i="1" s="1"/>
  <c r="L16" i="1" s="1"/>
  <c r="L20" i="1" s="1"/>
  <c r="L6" i="1"/>
  <c r="L10" i="1" s="1"/>
  <c r="L14" i="1" s="1"/>
  <c r="L18" i="1" s="1"/>
  <c r="O9" i="1"/>
  <c r="O13" i="1" s="1"/>
  <c r="O17" i="1" s="1"/>
  <c r="O21" i="1" s="1"/>
  <c r="O30" i="1"/>
  <c r="O34" i="1" s="1"/>
  <c r="O38" i="1" s="1"/>
  <c r="O42" i="1" s="1"/>
  <c r="O51" i="1"/>
  <c r="O55" i="1" s="1"/>
  <c r="O59" i="1" s="1"/>
  <c r="O63" i="1" s="1"/>
  <c r="O72" i="1"/>
  <c r="O76" i="1" s="1"/>
  <c r="O80" i="1" s="1"/>
  <c r="O84" i="1" s="1"/>
  <c r="O93" i="1"/>
  <c r="O97" i="1" s="1"/>
  <c r="O101" i="1" s="1"/>
  <c r="O105" i="1" s="1"/>
  <c r="N9" i="1"/>
  <c r="N13" i="1" s="1"/>
  <c r="N17" i="1" s="1"/>
  <c r="N21" i="1" s="1"/>
  <c r="N30" i="1"/>
  <c r="N34" i="1" s="1"/>
  <c r="N38" i="1" s="1"/>
  <c r="N42" i="1" s="1"/>
  <c r="N51" i="1"/>
  <c r="N55" i="1" s="1"/>
  <c r="N59" i="1" s="1"/>
  <c r="N63" i="1" s="1"/>
  <c r="N72" i="1"/>
  <c r="N76" i="1" s="1"/>
  <c r="N80" i="1" s="1"/>
  <c r="N84" i="1" s="1"/>
  <c r="N93" i="1"/>
  <c r="N97" i="1" s="1"/>
  <c r="N101" i="1" s="1"/>
  <c r="N105" i="1" s="1"/>
  <c r="A90" i="1"/>
  <c r="A94" i="1" s="1"/>
  <c r="A98" i="1" s="1"/>
  <c r="A102" i="1" s="1"/>
  <c r="A89" i="1"/>
  <c r="A93" i="1" s="1"/>
  <c r="A97" i="1" s="1"/>
  <c r="A101" i="1" s="1"/>
  <c r="A105" i="1" s="1"/>
  <c r="A88" i="1"/>
  <c r="A92" i="1" s="1"/>
  <c r="A96" i="1" s="1"/>
  <c r="A100" i="1" s="1"/>
  <c r="A104" i="1" s="1"/>
  <c r="A87" i="1"/>
  <c r="A91" i="1" s="1"/>
  <c r="A95" i="1" s="1"/>
  <c r="A99" i="1" s="1"/>
  <c r="A103" i="1" s="1"/>
  <c r="A69" i="1"/>
  <c r="A73" i="1" s="1"/>
  <c r="A77" i="1" s="1"/>
  <c r="A81" i="1" s="1"/>
  <c r="A68" i="1"/>
  <c r="A72" i="1" s="1"/>
  <c r="A76" i="1" s="1"/>
  <c r="A80" i="1" s="1"/>
  <c r="A84" i="1" s="1"/>
  <c r="A67" i="1"/>
  <c r="A71" i="1" s="1"/>
  <c r="A75" i="1" s="1"/>
  <c r="A79" i="1" s="1"/>
  <c r="A83" i="1" s="1"/>
  <c r="A66" i="1"/>
  <c r="A70" i="1" s="1"/>
  <c r="A74" i="1" s="1"/>
  <c r="A78" i="1" s="1"/>
  <c r="A82" i="1" s="1"/>
  <c r="A27" i="1"/>
  <c r="A31" i="1" s="1"/>
  <c r="A35" i="1" s="1"/>
  <c r="A39" i="1" s="1"/>
  <c r="A26" i="1"/>
  <c r="A30" i="1" s="1"/>
  <c r="A34" i="1" s="1"/>
  <c r="A38" i="1" s="1"/>
  <c r="A42" i="1" s="1"/>
  <c r="A25" i="1"/>
  <c r="A29" i="1" s="1"/>
  <c r="A33" i="1" s="1"/>
  <c r="A37" i="1" s="1"/>
  <c r="A41" i="1" s="1"/>
  <c r="A24" i="1"/>
  <c r="A28" i="1" s="1"/>
  <c r="A32" i="1" s="1"/>
  <c r="A36" i="1" s="1"/>
  <c r="A40" i="1" s="1"/>
  <c r="A6" i="1"/>
  <c r="A10" i="1" s="1"/>
  <c r="A14" i="1" s="1"/>
  <c r="A18" i="1" s="1"/>
  <c r="A5" i="1"/>
  <c r="A9" i="1" s="1"/>
  <c r="A13" i="1" s="1"/>
  <c r="A17" i="1" s="1"/>
  <c r="A21" i="1" s="1"/>
  <c r="A4" i="1"/>
  <c r="A8" i="1" s="1"/>
  <c r="A12" i="1" s="1"/>
  <c r="A16" i="1" s="1"/>
  <c r="A20" i="1" s="1"/>
  <c r="A3" i="1"/>
  <c r="A7" i="1" s="1"/>
  <c r="A11" i="1" s="1"/>
  <c r="A15" i="1" s="1"/>
  <c r="A19" i="1" s="1"/>
  <c r="A48" i="1"/>
  <c r="A52" i="1" s="1"/>
  <c r="A56" i="1" s="1"/>
  <c r="A60" i="1" s="1"/>
  <c r="A47" i="1"/>
  <c r="A51" i="1" s="1"/>
  <c r="A55" i="1" s="1"/>
  <c r="A59" i="1" s="1"/>
  <c r="A63" i="1" s="1"/>
  <c r="A46" i="1"/>
  <c r="A50" i="1" s="1"/>
  <c r="A54" i="1" s="1"/>
  <c r="A58" i="1" s="1"/>
  <c r="A62" i="1" s="1"/>
  <c r="A45" i="1"/>
  <c r="A49" i="1" s="1"/>
  <c r="A53" i="1" s="1"/>
  <c r="A57" i="1" s="1"/>
  <c r="A61" i="1" s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Q175" i="1" l="1"/>
  <c r="R175" i="1" s="1"/>
  <c r="Q186" i="1"/>
  <c r="R186" i="1" s="1"/>
  <c r="Q116" i="1"/>
  <c r="R116" i="1" s="1"/>
  <c r="Q120" i="1"/>
  <c r="Q112" i="1"/>
  <c r="Q70" i="1"/>
  <c r="R70" i="1" s="1"/>
  <c r="Q69" i="1"/>
  <c r="R69" i="1" s="1"/>
  <c r="Q54" i="1"/>
  <c r="R54" i="1" s="1"/>
  <c r="Q29" i="1"/>
  <c r="R29" i="1" s="1"/>
  <c r="Q8" i="1"/>
  <c r="R8" i="1" s="1"/>
  <c r="Q48" i="1"/>
  <c r="R48" i="1" s="1"/>
  <c r="Q28" i="1"/>
  <c r="R28" i="1" s="1"/>
  <c r="Q27" i="1"/>
  <c r="R27" i="1" s="1"/>
  <c r="T126" i="1"/>
  <c r="W189" i="1"/>
  <c r="T147" i="1"/>
  <c r="W21" i="1"/>
  <c r="W84" i="1"/>
  <c r="T42" i="1"/>
  <c r="T63" i="1"/>
  <c r="U21" i="1"/>
  <c r="T84" i="1"/>
  <c r="T189" i="1"/>
  <c r="W42" i="1"/>
  <c r="W147" i="1"/>
  <c r="U143" i="1"/>
  <c r="U59" i="1"/>
  <c r="X80" i="1"/>
  <c r="U122" i="1"/>
  <c r="U185" i="1"/>
  <c r="X143" i="1"/>
  <c r="U38" i="1"/>
  <c r="X17" i="1"/>
  <c r="X59" i="1"/>
  <c r="X101" i="1"/>
  <c r="U101" i="1"/>
  <c r="U164" i="1"/>
  <c r="X122" i="1"/>
  <c r="X185" i="1"/>
  <c r="U80" i="1"/>
  <c r="X38" i="1"/>
  <c r="T80" i="1"/>
  <c r="W122" i="1"/>
  <c r="T164" i="1"/>
  <c r="T101" i="1"/>
  <c r="W143" i="1"/>
  <c r="T38" i="1"/>
  <c r="W80" i="1"/>
  <c r="T185" i="1"/>
  <c r="T122" i="1"/>
  <c r="X164" i="1"/>
  <c r="W76" i="1"/>
  <c r="T97" i="1"/>
  <c r="T139" i="1"/>
  <c r="T181" i="1"/>
  <c r="T34" i="1"/>
  <c r="W118" i="1"/>
  <c r="T76" i="1"/>
  <c r="W181" i="1"/>
  <c r="W55" i="1"/>
  <c r="T118" i="1"/>
  <c r="W34" i="1"/>
  <c r="W97" i="1"/>
  <c r="T160" i="1"/>
  <c r="W139" i="1"/>
  <c r="T55" i="1"/>
  <c r="R160" i="1"/>
  <c r="W160" i="1"/>
  <c r="U114" i="1"/>
  <c r="X177" i="1"/>
  <c r="U72" i="1"/>
  <c r="X135" i="1"/>
  <c r="U156" i="1"/>
  <c r="U30" i="1"/>
  <c r="X93" i="1"/>
  <c r="U177" i="1"/>
  <c r="X51" i="1"/>
  <c r="U135" i="1"/>
  <c r="U93" i="1"/>
  <c r="U51" i="1"/>
  <c r="X114" i="1"/>
  <c r="X72" i="1"/>
  <c r="X30" i="1"/>
  <c r="X9" i="1"/>
  <c r="T72" i="1"/>
  <c r="W177" i="1"/>
  <c r="T30" i="1"/>
  <c r="W135" i="1"/>
  <c r="W30" i="1"/>
  <c r="T177" i="1"/>
  <c r="W93" i="1"/>
  <c r="W51" i="1"/>
  <c r="T135" i="1"/>
  <c r="T93" i="1"/>
  <c r="T51" i="1"/>
  <c r="T114" i="1"/>
  <c r="W114" i="1"/>
  <c r="W72" i="1"/>
  <c r="T156" i="1"/>
  <c r="W156" i="1"/>
  <c r="X156" i="1"/>
  <c r="W110" i="1"/>
  <c r="U26" i="1"/>
  <c r="X110" i="1"/>
  <c r="T26" i="1"/>
  <c r="W47" i="1"/>
  <c r="U131" i="1"/>
  <c r="W152" i="1"/>
  <c r="U68" i="1"/>
  <c r="X152" i="1"/>
  <c r="T68" i="1"/>
  <c r="W89" i="1"/>
  <c r="U173" i="1"/>
  <c r="X89" i="1"/>
  <c r="T173" i="1"/>
  <c r="W26" i="1"/>
  <c r="U110" i="1"/>
  <c r="X26" i="1"/>
  <c r="T110" i="1"/>
  <c r="D19" i="1"/>
  <c r="Q161" i="1"/>
  <c r="R161" i="1" s="1"/>
  <c r="Q7" i="1"/>
  <c r="R7" i="1" s="1"/>
  <c r="Q166" i="1"/>
  <c r="R166" i="1" s="1"/>
  <c r="Q123" i="1"/>
  <c r="R123" i="1" s="1"/>
  <c r="R124" i="1"/>
  <c r="R112" i="1"/>
  <c r="R120" i="1"/>
  <c r="R144" i="1"/>
  <c r="Q92" i="1"/>
  <c r="R92" i="1" s="1"/>
  <c r="Q100" i="1"/>
  <c r="R100" i="1" s="1"/>
  <c r="Q142" i="1"/>
  <c r="R142" i="1" s="1"/>
  <c r="Q138" i="1"/>
  <c r="R138" i="1" s="1"/>
  <c r="Q134" i="1"/>
  <c r="R134" i="1" s="1"/>
  <c r="Q155" i="1"/>
  <c r="R155" i="1" s="1"/>
  <c r="Q159" i="1"/>
  <c r="R159" i="1" s="1"/>
  <c r="Q163" i="1"/>
  <c r="R163" i="1" s="1"/>
  <c r="U4" i="1"/>
  <c r="X130" i="1" s="1"/>
  <c r="R145" i="1"/>
  <c r="Q111" i="1"/>
  <c r="R111" i="1" s="1"/>
  <c r="Q115" i="1"/>
  <c r="R115" i="1" s="1"/>
  <c r="Q119" i="1"/>
  <c r="R119" i="1" s="1"/>
  <c r="T2" i="1"/>
  <c r="T170" i="1" s="1"/>
  <c r="Q157" i="1"/>
  <c r="R157" i="1" s="1"/>
  <c r="Q153" i="1"/>
  <c r="R153" i="1" s="1"/>
  <c r="Q158" i="1"/>
  <c r="R158" i="1" s="1"/>
  <c r="Q162" i="1"/>
  <c r="R162" i="1" s="1"/>
  <c r="Q154" i="1"/>
  <c r="R154" i="1" s="1"/>
  <c r="Q141" i="1"/>
  <c r="R141" i="1" s="1"/>
  <c r="Q137" i="1"/>
  <c r="R137" i="1" s="1"/>
  <c r="Q133" i="1"/>
  <c r="R133" i="1" s="1"/>
  <c r="Q140" i="1"/>
  <c r="R140" i="1" s="1"/>
  <c r="Q132" i="1"/>
  <c r="R132" i="1" s="1"/>
  <c r="Q136" i="1"/>
  <c r="R136" i="1" s="1"/>
  <c r="Q6" i="1"/>
  <c r="R2" i="1"/>
  <c r="U2" i="1" s="1"/>
  <c r="Q10" i="1"/>
  <c r="R10" i="1" s="1"/>
  <c r="T3" i="1"/>
  <c r="Q49" i="1"/>
  <c r="R91" i="1"/>
  <c r="R90" i="1"/>
  <c r="T4" i="1"/>
  <c r="U3" i="1"/>
  <c r="R165" i="1"/>
  <c r="X5" i="1"/>
  <c r="W17" i="1"/>
  <c r="W9" i="1"/>
  <c r="W5" i="1"/>
  <c r="W13" i="1"/>
  <c r="R173" i="1"/>
  <c r="D179" i="1"/>
  <c r="D183" i="1" s="1"/>
  <c r="F184" i="1"/>
  <c r="Q180" i="1"/>
  <c r="Q176" i="1"/>
  <c r="Q174" i="1"/>
  <c r="Q178" i="1"/>
  <c r="Q182" i="1"/>
  <c r="L184" i="1"/>
  <c r="M180" i="1"/>
  <c r="M182" i="1"/>
  <c r="L186" i="1"/>
  <c r="M186" i="1" s="1"/>
  <c r="L181" i="1"/>
  <c r="L179" i="1"/>
  <c r="M178" i="1"/>
  <c r="L160" i="1"/>
  <c r="L163" i="1"/>
  <c r="M159" i="1"/>
  <c r="L166" i="1"/>
  <c r="M166" i="1" s="1"/>
  <c r="M162" i="1"/>
  <c r="M158" i="1"/>
  <c r="M155" i="1"/>
  <c r="L157" i="1"/>
  <c r="L142" i="1"/>
  <c r="M138" i="1"/>
  <c r="L145" i="1"/>
  <c r="M145" i="1" s="1"/>
  <c r="M141" i="1"/>
  <c r="M137" i="1"/>
  <c r="M139" i="1"/>
  <c r="L136" i="1"/>
  <c r="L143" i="1"/>
  <c r="K135" i="1"/>
  <c r="L121" i="1"/>
  <c r="M117" i="1"/>
  <c r="L120" i="1"/>
  <c r="M116" i="1"/>
  <c r="M115" i="1"/>
  <c r="L119" i="1"/>
  <c r="L122" i="1"/>
  <c r="M118" i="1"/>
  <c r="M113" i="1"/>
  <c r="M114" i="1"/>
  <c r="M111" i="1"/>
  <c r="M112" i="1"/>
  <c r="F10" i="1"/>
  <c r="F14" i="1" s="1"/>
  <c r="Q14" i="1" s="1"/>
  <c r="R14" i="1" s="1"/>
  <c r="F33" i="1"/>
  <c r="Q33" i="1" s="1"/>
  <c r="R33" i="1" s="1"/>
  <c r="F53" i="1"/>
  <c r="Q53" i="1" s="1"/>
  <c r="F54" i="1"/>
  <c r="F73" i="1"/>
  <c r="Q73" i="1" s="1"/>
  <c r="R73" i="1" s="1"/>
  <c r="F74" i="1"/>
  <c r="Q74" i="1" s="1"/>
  <c r="R74" i="1" s="1"/>
  <c r="F75" i="1"/>
  <c r="Q75" i="1" s="1"/>
  <c r="R75" i="1" s="1"/>
  <c r="F32" i="1"/>
  <c r="Q32" i="1" s="1"/>
  <c r="R32" i="1" s="1"/>
  <c r="F94" i="1"/>
  <c r="Q94" i="1" s="1"/>
  <c r="R94" i="1" s="1"/>
  <c r="F52" i="1"/>
  <c r="Q52" i="1" s="1"/>
  <c r="F11" i="1"/>
  <c r="Q11" i="1" s="1"/>
  <c r="R11" i="1" s="1"/>
  <c r="F95" i="1"/>
  <c r="Q95" i="1" s="1"/>
  <c r="R95" i="1" s="1"/>
  <c r="F96" i="1"/>
  <c r="F12" i="1"/>
  <c r="Q12" i="1" s="1"/>
  <c r="R12" i="1" s="1"/>
  <c r="F31" i="1"/>
  <c r="Q31" i="1" s="1"/>
  <c r="R31" i="1" s="1"/>
  <c r="E14" i="1"/>
  <c r="E18" i="1" s="1"/>
  <c r="E16" i="1"/>
  <c r="E20" i="1" s="1"/>
  <c r="E15" i="1"/>
  <c r="E19" i="1" s="1"/>
  <c r="X147" i="1" l="1"/>
  <c r="X42" i="1"/>
  <c r="U105" i="1"/>
  <c r="U189" i="1"/>
  <c r="U84" i="1"/>
  <c r="X126" i="1"/>
  <c r="X105" i="1"/>
  <c r="U63" i="1"/>
  <c r="U168" i="1"/>
  <c r="U42" i="1"/>
  <c r="X84" i="1"/>
  <c r="X21" i="1"/>
  <c r="X189" i="1"/>
  <c r="U147" i="1"/>
  <c r="U126" i="1"/>
  <c r="X63" i="1"/>
  <c r="X168" i="1"/>
  <c r="U13" i="1"/>
  <c r="X109" i="1"/>
  <c r="X88" i="1"/>
  <c r="X67" i="1"/>
  <c r="X46" i="1"/>
  <c r="X25" i="1"/>
  <c r="X4" i="1"/>
  <c r="X151" i="1"/>
  <c r="X172" i="1"/>
  <c r="W172" i="1"/>
  <c r="T151" i="1"/>
  <c r="T67" i="1"/>
  <c r="T130" i="1"/>
  <c r="T46" i="1"/>
  <c r="T109" i="1"/>
  <c r="T25" i="1"/>
  <c r="T172" i="1"/>
  <c r="T88" i="1"/>
  <c r="U172" i="1"/>
  <c r="U88" i="1"/>
  <c r="U151" i="1"/>
  <c r="U67" i="1"/>
  <c r="U130" i="1"/>
  <c r="U46" i="1"/>
  <c r="U109" i="1"/>
  <c r="U25" i="1"/>
  <c r="T10" i="1"/>
  <c r="T31" i="1" s="1"/>
  <c r="T128" i="1"/>
  <c r="T86" i="1"/>
  <c r="T44" i="1"/>
  <c r="W23" i="1"/>
  <c r="T6" i="1"/>
  <c r="T90" i="1" s="1"/>
  <c r="T65" i="1"/>
  <c r="W149" i="1"/>
  <c r="W128" i="1"/>
  <c r="T149" i="1"/>
  <c r="T107" i="1"/>
  <c r="W44" i="1"/>
  <c r="W170" i="1"/>
  <c r="W65" i="1"/>
  <c r="W86" i="1"/>
  <c r="W107" i="1"/>
  <c r="T23" i="1"/>
  <c r="U24" i="1"/>
  <c r="U45" i="1"/>
  <c r="U87" i="1"/>
  <c r="U66" i="1"/>
  <c r="U108" i="1"/>
  <c r="U129" i="1"/>
  <c r="U171" i="1"/>
  <c r="X24" i="1"/>
  <c r="U150" i="1"/>
  <c r="W3" i="1"/>
  <c r="T171" i="1"/>
  <c r="W24" i="1"/>
  <c r="T24" i="1"/>
  <c r="T45" i="1"/>
  <c r="T66" i="1"/>
  <c r="T87" i="1"/>
  <c r="T108" i="1"/>
  <c r="T129" i="1"/>
  <c r="T150" i="1"/>
  <c r="R6" i="1"/>
  <c r="X107" i="1"/>
  <c r="U128" i="1"/>
  <c r="U44" i="1"/>
  <c r="U149" i="1"/>
  <c r="U23" i="1"/>
  <c r="U65" i="1"/>
  <c r="U107" i="1"/>
  <c r="U86" i="1"/>
  <c r="U170" i="1"/>
  <c r="X23" i="1"/>
  <c r="W171" i="1"/>
  <c r="W87" i="1"/>
  <c r="W150" i="1"/>
  <c r="W129" i="1"/>
  <c r="W45" i="1"/>
  <c r="W66" i="1"/>
  <c r="W108" i="1"/>
  <c r="R53" i="1"/>
  <c r="T7" i="1"/>
  <c r="R49" i="1"/>
  <c r="U7" i="1" s="1"/>
  <c r="W67" i="1"/>
  <c r="W88" i="1"/>
  <c r="W109" i="1"/>
  <c r="W130" i="1"/>
  <c r="W151" i="1"/>
  <c r="W25" i="1"/>
  <c r="W46" i="1"/>
  <c r="W4" i="1"/>
  <c r="R180" i="1"/>
  <c r="T12" i="1"/>
  <c r="R176" i="1"/>
  <c r="T8" i="1"/>
  <c r="X45" i="1"/>
  <c r="X150" i="1"/>
  <c r="X129" i="1"/>
  <c r="X108" i="1"/>
  <c r="X87" i="1"/>
  <c r="X66" i="1"/>
  <c r="X171" i="1"/>
  <c r="X3" i="1"/>
  <c r="X170" i="1"/>
  <c r="X128" i="1"/>
  <c r="X86" i="1"/>
  <c r="X44" i="1"/>
  <c r="X65" i="1"/>
  <c r="X149" i="1"/>
  <c r="X2" i="1"/>
  <c r="W2" i="1"/>
  <c r="R52" i="1"/>
  <c r="D187" i="1"/>
  <c r="Q187" i="1" s="1"/>
  <c r="Q183" i="1"/>
  <c r="Q179" i="1"/>
  <c r="T11" i="1" s="1"/>
  <c r="R174" i="1"/>
  <c r="R178" i="1"/>
  <c r="R182" i="1"/>
  <c r="F188" i="1"/>
  <c r="Q188" i="1" s="1"/>
  <c r="Q184" i="1"/>
  <c r="K181" i="1"/>
  <c r="L185" i="1"/>
  <c r="M181" i="1"/>
  <c r="L183" i="1"/>
  <c r="M179" i="1"/>
  <c r="L188" i="1"/>
  <c r="M188" i="1" s="1"/>
  <c r="M184" i="1"/>
  <c r="L164" i="1"/>
  <c r="L168" i="1" s="1"/>
  <c r="M160" i="1"/>
  <c r="L161" i="1"/>
  <c r="M157" i="1"/>
  <c r="M163" i="1"/>
  <c r="L167" i="1"/>
  <c r="M167" i="1" s="1"/>
  <c r="L147" i="1"/>
  <c r="M143" i="1"/>
  <c r="K143" i="1"/>
  <c r="L140" i="1"/>
  <c r="M136" i="1"/>
  <c r="L146" i="1"/>
  <c r="M146" i="1" s="1"/>
  <c r="M142" i="1"/>
  <c r="L126" i="1"/>
  <c r="M122" i="1"/>
  <c r="L123" i="1"/>
  <c r="M123" i="1" s="1"/>
  <c r="M119" i="1"/>
  <c r="L124" i="1"/>
  <c r="M124" i="1" s="1"/>
  <c r="M120" i="1"/>
  <c r="L125" i="1"/>
  <c r="M125" i="1" s="1"/>
  <c r="M121" i="1"/>
  <c r="F18" i="1"/>
  <c r="Q18" i="1" s="1"/>
  <c r="R18" i="1" s="1"/>
  <c r="F56" i="1"/>
  <c r="Q56" i="1" s="1"/>
  <c r="F36" i="1"/>
  <c r="Q36" i="1" s="1"/>
  <c r="R36" i="1" s="1"/>
  <c r="F78" i="1"/>
  <c r="Q78" i="1" s="1"/>
  <c r="R78" i="1" s="1"/>
  <c r="F16" i="1"/>
  <c r="Q16" i="1" s="1"/>
  <c r="R16" i="1" s="1"/>
  <c r="F77" i="1"/>
  <c r="Q77" i="1" s="1"/>
  <c r="R77" i="1" s="1"/>
  <c r="F100" i="1"/>
  <c r="F98" i="1"/>
  <c r="Q98" i="1" s="1"/>
  <c r="R98" i="1" s="1"/>
  <c r="F99" i="1"/>
  <c r="Q99" i="1" s="1"/>
  <c r="R99" i="1" s="1"/>
  <c r="F15" i="1"/>
  <c r="Q15" i="1" s="1"/>
  <c r="R15" i="1" s="1"/>
  <c r="F57" i="1"/>
  <c r="Q57" i="1" s="1"/>
  <c r="R57" i="1" s="1"/>
  <c r="F35" i="1"/>
  <c r="Q35" i="1" s="1"/>
  <c r="R35" i="1" s="1"/>
  <c r="F79" i="1"/>
  <c r="Q79" i="1" s="1"/>
  <c r="R79" i="1" s="1"/>
  <c r="F58" i="1"/>
  <c r="Q58" i="1" s="1"/>
  <c r="R58" i="1" s="1"/>
  <c r="F37" i="1"/>
  <c r="Q37" i="1" s="1"/>
  <c r="R37" i="1" s="1"/>
  <c r="U97" i="1" l="1"/>
  <c r="X118" i="1"/>
  <c r="U139" i="1"/>
  <c r="U181" i="1"/>
  <c r="U34" i="1"/>
  <c r="X139" i="1"/>
  <c r="X76" i="1"/>
  <c r="X55" i="1"/>
  <c r="U76" i="1"/>
  <c r="U55" i="1"/>
  <c r="X97" i="1"/>
  <c r="U118" i="1"/>
  <c r="X13" i="1"/>
  <c r="U160" i="1"/>
  <c r="X181" i="1"/>
  <c r="X34" i="1"/>
  <c r="X160" i="1"/>
  <c r="U10" i="1"/>
  <c r="U52" i="1" s="1"/>
  <c r="T14" i="1"/>
  <c r="T161" i="1" s="1"/>
  <c r="T176" i="1"/>
  <c r="T92" i="1"/>
  <c r="T155" i="1"/>
  <c r="T71" i="1"/>
  <c r="T134" i="1"/>
  <c r="T50" i="1"/>
  <c r="T113" i="1"/>
  <c r="T29" i="1"/>
  <c r="W180" i="1"/>
  <c r="T117" i="1"/>
  <c r="T33" i="1"/>
  <c r="T180" i="1"/>
  <c r="T96" i="1"/>
  <c r="T159" i="1"/>
  <c r="T75" i="1"/>
  <c r="T138" i="1"/>
  <c r="T54" i="1"/>
  <c r="W153" i="1"/>
  <c r="W94" i="1"/>
  <c r="W31" i="1"/>
  <c r="T178" i="1"/>
  <c r="W136" i="1"/>
  <c r="T52" i="1"/>
  <c r="W73" i="1"/>
  <c r="T94" i="1"/>
  <c r="W115" i="1"/>
  <c r="T73" i="1"/>
  <c r="T136" i="1"/>
  <c r="T115" i="1"/>
  <c r="W52" i="1"/>
  <c r="T157" i="1"/>
  <c r="W178" i="1"/>
  <c r="W157" i="1"/>
  <c r="W69" i="1"/>
  <c r="T27" i="1"/>
  <c r="W132" i="1"/>
  <c r="T153" i="1"/>
  <c r="T69" i="1"/>
  <c r="W27" i="1"/>
  <c r="T174" i="1"/>
  <c r="W111" i="1"/>
  <c r="T132" i="1"/>
  <c r="T48" i="1"/>
  <c r="W48" i="1"/>
  <c r="W174" i="1"/>
  <c r="T111" i="1"/>
  <c r="W90" i="1"/>
  <c r="X175" i="1"/>
  <c r="U133" i="1"/>
  <c r="U154" i="1"/>
  <c r="U175" i="1"/>
  <c r="U28" i="1"/>
  <c r="U49" i="1"/>
  <c r="U70" i="1"/>
  <c r="U112" i="1"/>
  <c r="U91" i="1"/>
  <c r="T112" i="1"/>
  <c r="T133" i="1"/>
  <c r="T154" i="1"/>
  <c r="T175" i="1"/>
  <c r="T28" i="1"/>
  <c r="T49" i="1"/>
  <c r="T70" i="1"/>
  <c r="T91" i="1"/>
  <c r="W53" i="1"/>
  <c r="T53" i="1"/>
  <c r="T74" i="1"/>
  <c r="T95" i="1"/>
  <c r="T116" i="1"/>
  <c r="T137" i="1"/>
  <c r="T158" i="1"/>
  <c r="T179" i="1"/>
  <c r="T32" i="1"/>
  <c r="U6" i="1"/>
  <c r="U48" i="1" s="1"/>
  <c r="T15" i="1"/>
  <c r="W133" i="1"/>
  <c r="W112" i="1"/>
  <c r="W28" i="1"/>
  <c r="W175" i="1"/>
  <c r="W91" i="1"/>
  <c r="W70" i="1"/>
  <c r="W154" i="1"/>
  <c r="W7" i="1"/>
  <c r="W49" i="1"/>
  <c r="W116" i="1"/>
  <c r="W32" i="1"/>
  <c r="W95" i="1"/>
  <c r="W179" i="1"/>
  <c r="W158" i="1"/>
  <c r="W74" i="1"/>
  <c r="W137" i="1"/>
  <c r="W11" i="1"/>
  <c r="W134" i="1"/>
  <c r="W155" i="1"/>
  <c r="W29" i="1"/>
  <c r="W50" i="1"/>
  <c r="W71" i="1"/>
  <c r="W92" i="1"/>
  <c r="W113" i="1"/>
  <c r="W8" i="1"/>
  <c r="U8" i="1"/>
  <c r="W176" i="1"/>
  <c r="R188" i="1"/>
  <c r="U12" i="1"/>
  <c r="R184" i="1"/>
  <c r="T16" i="1"/>
  <c r="W12" i="1"/>
  <c r="W33" i="1"/>
  <c r="W54" i="1"/>
  <c r="W75" i="1"/>
  <c r="W96" i="1"/>
  <c r="W117" i="1"/>
  <c r="W138" i="1"/>
  <c r="W159" i="1"/>
  <c r="X112" i="1"/>
  <c r="X91" i="1"/>
  <c r="X70" i="1"/>
  <c r="X49" i="1"/>
  <c r="X154" i="1"/>
  <c r="X28" i="1"/>
  <c r="X133" i="1"/>
  <c r="X7" i="1"/>
  <c r="W6" i="1"/>
  <c r="W10" i="1"/>
  <c r="R56" i="1"/>
  <c r="U14" i="1" s="1"/>
  <c r="R179" i="1"/>
  <c r="R187" i="1"/>
  <c r="R183" i="1"/>
  <c r="L189" i="1"/>
  <c r="M185" i="1"/>
  <c r="K185" i="1"/>
  <c r="L187" i="1"/>
  <c r="M187" i="1" s="1"/>
  <c r="M183" i="1"/>
  <c r="M164" i="1"/>
  <c r="M168" i="1"/>
  <c r="M161" i="1"/>
  <c r="L165" i="1"/>
  <c r="M165" i="1" s="1"/>
  <c r="M140" i="1"/>
  <c r="L144" i="1"/>
  <c r="M144" i="1" s="1"/>
  <c r="M147" i="1"/>
  <c r="K147" i="1"/>
  <c r="M126" i="1"/>
  <c r="F104" i="1"/>
  <c r="F19" i="1"/>
  <c r="Q19" i="1" s="1"/>
  <c r="R19" i="1" s="1"/>
  <c r="F41" i="1"/>
  <c r="Q41" i="1" s="1"/>
  <c r="R41" i="1" s="1"/>
  <c r="F102" i="1"/>
  <c r="Q102" i="1" s="1"/>
  <c r="F83" i="1"/>
  <c r="Q83" i="1" s="1"/>
  <c r="R83" i="1" s="1"/>
  <c r="F40" i="1"/>
  <c r="Q40" i="1" s="1"/>
  <c r="R40" i="1" s="1"/>
  <c r="F103" i="1"/>
  <c r="Q103" i="1" s="1"/>
  <c r="R103" i="1" s="1"/>
  <c r="F81" i="1"/>
  <c r="Q81" i="1" s="1"/>
  <c r="R81" i="1" s="1"/>
  <c r="F82" i="1"/>
  <c r="Q82" i="1" s="1"/>
  <c r="R82" i="1" s="1"/>
  <c r="F61" i="1"/>
  <c r="Q61" i="1" s="1"/>
  <c r="F62" i="1"/>
  <c r="Q62" i="1" s="1"/>
  <c r="R62" i="1" s="1"/>
  <c r="F20" i="1"/>
  <c r="Q20" i="1" s="1"/>
  <c r="R20" i="1" s="1"/>
  <c r="F39" i="1"/>
  <c r="Q39" i="1" s="1"/>
  <c r="R39" i="1" s="1"/>
  <c r="F60" i="1"/>
  <c r="Q60" i="1" s="1"/>
  <c r="U178" i="1" l="1"/>
  <c r="U31" i="1"/>
  <c r="U115" i="1"/>
  <c r="U157" i="1"/>
  <c r="U73" i="1"/>
  <c r="X157" i="1"/>
  <c r="X31" i="1"/>
  <c r="X115" i="1"/>
  <c r="X52" i="1"/>
  <c r="X94" i="1"/>
  <c r="U136" i="1"/>
  <c r="X73" i="1"/>
  <c r="X136" i="1"/>
  <c r="X178" i="1"/>
  <c r="U94" i="1"/>
  <c r="W98" i="1"/>
  <c r="W35" i="1"/>
  <c r="T140" i="1"/>
  <c r="W56" i="1"/>
  <c r="W119" i="1"/>
  <c r="T119" i="1"/>
  <c r="W77" i="1"/>
  <c r="T35" i="1"/>
  <c r="T182" i="1"/>
  <c r="T56" i="1"/>
  <c r="W182" i="1"/>
  <c r="W14" i="1"/>
  <c r="T98" i="1"/>
  <c r="W140" i="1"/>
  <c r="T77" i="1"/>
  <c r="W161" i="1"/>
  <c r="T18" i="1"/>
  <c r="W102" i="1" s="1"/>
  <c r="R102" i="1"/>
  <c r="T20" i="1"/>
  <c r="W104" i="1" s="1"/>
  <c r="U138" i="1"/>
  <c r="U54" i="1"/>
  <c r="U117" i="1"/>
  <c r="U33" i="1"/>
  <c r="U180" i="1"/>
  <c r="U96" i="1"/>
  <c r="U159" i="1"/>
  <c r="U75" i="1"/>
  <c r="W184" i="1"/>
  <c r="T142" i="1"/>
  <c r="T58" i="1"/>
  <c r="T121" i="1"/>
  <c r="T37" i="1"/>
  <c r="T184" i="1"/>
  <c r="T100" i="1"/>
  <c r="T163" i="1"/>
  <c r="T79" i="1"/>
  <c r="X176" i="1"/>
  <c r="U113" i="1"/>
  <c r="U29" i="1"/>
  <c r="U176" i="1"/>
  <c r="U92" i="1"/>
  <c r="U50" i="1"/>
  <c r="U155" i="1"/>
  <c r="U71" i="1"/>
  <c r="U134" i="1"/>
  <c r="X180" i="1"/>
  <c r="W57" i="1"/>
  <c r="T162" i="1"/>
  <c r="T183" i="1"/>
  <c r="T36" i="1"/>
  <c r="T99" i="1"/>
  <c r="T57" i="1"/>
  <c r="T78" i="1"/>
  <c r="T120" i="1"/>
  <c r="T141" i="1"/>
  <c r="U27" i="1"/>
  <c r="X174" i="1"/>
  <c r="U174" i="1"/>
  <c r="X48" i="1"/>
  <c r="U132" i="1"/>
  <c r="U153" i="1"/>
  <c r="U90" i="1"/>
  <c r="X90" i="1"/>
  <c r="X132" i="1"/>
  <c r="X153" i="1"/>
  <c r="U69" i="1"/>
  <c r="X69" i="1"/>
  <c r="U111" i="1"/>
  <c r="X27" i="1"/>
  <c r="X111" i="1"/>
  <c r="X6" i="1"/>
  <c r="X119" i="1"/>
  <c r="U161" i="1"/>
  <c r="U119" i="1"/>
  <c r="U182" i="1"/>
  <c r="U98" i="1"/>
  <c r="U140" i="1"/>
  <c r="U56" i="1"/>
  <c r="U35" i="1"/>
  <c r="U77" i="1"/>
  <c r="X161" i="1"/>
  <c r="X140" i="1"/>
  <c r="X182" i="1"/>
  <c r="X56" i="1"/>
  <c r="X98" i="1"/>
  <c r="X35" i="1"/>
  <c r="X77" i="1"/>
  <c r="W183" i="1"/>
  <c r="W15" i="1"/>
  <c r="W36" i="1"/>
  <c r="W120" i="1"/>
  <c r="W141" i="1"/>
  <c r="W78" i="1"/>
  <c r="W162" i="1"/>
  <c r="W99" i="1"/>
  <c r="R61" i="1"/>
  <c r="U19" i="1" s="1"/>
  <c r="T19" i="1"/>
  <c r="X12" i="1"/>
  <c r="X33" i="1"/>
  <c r="X54" i="1"/>
  <c r="X75" i="1"/>
  <c r="X96" i="1"/>
  <c r="X117" i="1"/>
  <c r="X138" i="1"/>
  <c r="X159" i="1"/>
  <c r="W100" i="1"/>
  <c r="W121" i="1"/>
  <c r="W142" i="1"/>
  <c r="W163" i="1"/>
  <c r="W37" i="1"/>
  <c r="W58" i="1"/>
  <c r="W79" i="1"/>
  <c r="W16" i="1"/>
  <c r="U16" i="1"/>
  <c r="X134" i="1"/>
  <c r="X155" i="1"/>
  <c r="X29" i="1"/>
  <c r="X50" i="1"/>
  <c r="X71" i="1"/>
  <c r="X92" i="1"/>
  <c r="X113" i="1"/>
  <c r="X8" i="1"/>
  <c r="U20" i="1"/>
  <c r="U15" i="1"/>
  <c r="U11" i="1"/>
  <c r="R60" i="1"/>
  <c r="X10" i="1"/>
  <c r="M189" i="1"/>
  <c r="K189" i="1"/>
  <c r="T165" i="1" l="1"/>
  <c r="W144" i="1"/>
  <c r="T60" i="1"/>
  <c r="W60" i="1"/>
  <c r="W81" i="1"/>
  <c r="T123" i="1"/>
  <c r="W123" i="1"/>
  <c r="T186" i="1"/>
  <c r="T39" i="1"/>
  <c r="T144" i="1"/>
  <c r="T81" i="1"/>
  <c r="W39" i="1"/>
  <c r="W186" i="1"/>
  <c r="T102" i="1"/>
  <c r="W165" i="1"/>
  <c r="W188" i="1"/>
  <c r="W167" i="1"/>
  <c r="T188" i="1"/>
  <c r="T41" i="1"/>
  <c r="T104" i="1"/>
  <c r="T125" i="1"/>
  <c r="T83" i="1"/>
  <c r="W41" i="1"/>
  <c r="T62" i="1"/>
  <c r="T167" i="1"/>
  <c r="W83" i="1"/>
  <c r="W62" i="1"/>
  <c r="T146" i="1"/>
  <c r="W20" i="1"/>
  <c r="W146" i="1"/>
  <c r="W125" i="1"/>
  <c r="U188" i="1"/>
  <c r="U104" i="1"/>
  <c r="U167" i="1"/>
  <c r="U83" i="1"/>
  <c r="U146" i="1"/>
  <c r="U62" i="1"/>
  <c r="U41" i="1"/>
  <c r="U125" i="1"/>
  <c r="X184" i="1"/>
  <c r="U79" i="1"/>
  <c r="U142" i="1"/>
  <c r="U58" i="1"/>
  <c r="U184" i="1"/>
  <c r="U121" i="1"/>
  <c r="U37" i="1"/>
  <c r="U100" i="1"/>
  <c r="U163" i="1"/>
  <c r="U124" i="1"/>
  <c r="U145" i="1"/>
  <c r="U187" i="1"/>
  <c r="U166" i="1"/>
  <c r="U40" i="1"/>
  <c r="U61" i="1"/>
  <c r="U82" i="1"/>
  <c r="U103" i="1"/>
  <c r="U74" i="1"/>
  <c r="U95" i="1"/>
  <c r="U116" i="1"/>
  <c r="U137" i="1"/>
  <c r="U158" i="1"/>
  <c r="U179" i="1"/>
  <c r="U32" i="1"/>
  <c r="U53" i="1"/>
  <c r="T103" i="1"/>
  <c r="T145" i="1"/>
  <c r="T166" i="1"/>
  <c r="T187" i="1"/>
  <c r="T40" i="1"/>
  <c r="T61" i="1"/>
  <c r="T82" i="1"/>
  <c r="T124" i="1"/>
  <c r="U183" i="1"/>
  <c r="U36" i="1"/>
  <c r="U57" i="1"/>
  <c r="U78" i="1"/>
  <c r="U99" i="1"/>
  <c r="U120" i="1"/>
  <c r="U141" i="1"/>
  <c r="U162" i="1"/>
  <c r="U18" i="1"/>
  <c r="W61" i="1"/>
  <c r="W103" i="1"/>
  <c r="W40" i="1"/>
  <c r="W124" i="1"/>
  <c r="W145" i="1"/>
  <c r="W187" i="1"/>
  <c r="W166" i="1"/>
  <c r="W82" i="1"/>
  <c r="W19" i="1"/>
  <c r="X167" i="1"/>
  <c r="X41" i="1"/>
  <c r="X62" i="1"/>
  <c r="X83" i="1"/>
  <c r="X104" i="1"/>
  <c r="X125" i="1"/>
  <c r="X146" i="1"/>
  <c r="X20" i="1"/>
  <c r="X100" i="1"/>
  <c r="X16" i="1"/>
  <c r="X121" i="1"/>
  <c r="X142" i="1"/>
  <c r="X163" i="1"/>
  <c r="X37" i="1"/>
  <c r="X58" i="1"/>
  <c r="X79" i="1"/>
  <c r="X188" i="1"/>
  <c r="X103" i="1"/>
  <c r="X82" i="1"/>
  <c r="X61" i="1"/>
  <c r="X166" i="1"/>
  <c r="X40" i="1"/>
  <c r="X145" i="1"/>
  <c r="X124" i="1"/>
  <c r="X19" i="1"/>
  <c r="X187" i="1"/>
  <c r="X53" i="1"/>
  <c r="X158" i="1"/>
  <c r="X32" i="1"/>
  <c r="X137" i="1"/>
  <c r="X116" i="1"/>
  <c r="X95" i="1"/>
  <c r="X74" i="1"/>
  <c r="X11" i="1"/>
  <c r="X179" i="1"/>
  <c r="X36" i="1"/>
  <c r="X141" i="1"/>
  <c r="X120" i="1"/>
  <c r="X99" i="1"/>
  <c r="X78" i="1"/>
  <c r="X57" i="1"/>
  <c r="X162" i="1"/>
  <c r="X15" i="1"/>
  <c r="X183" i="1"/>
  <c r="W18" i="1"/>
  <c r="X14" i="1"/>
  <c r="X60" i="1" l="1"/>
  <c r="U123" i="1"/>
  <c r="U81" i="1"/>
  <c r="U39" i="1"/>
  <c r="U165" i="1"/>
  <c r="U186" i="1"/>
  <c r="U102" i="1"/>
  <c r="U144" i="1"/>
  <c r="U60" i="1"/>
  <c r="X165" i="1"/>
  <c r="X144" i="1"/>
  <c r="X186" i="1"/>
  <c r="X102" i="1"/>
  <c r="X81" i="1"/>
  <c r="X123" i="1"/>
  <c r="X39" i="1"/>
  <c r="X18" i="1"/>
</calcChain>
</file>

<file path=xl/sharedStrings.xml><?xml version="1.0" encoding="utf-8"?>
<sst xmlns="http://schemas.openxmlformats.org/spreadsheetml/2006/main" count="359" uniqueCount="72">
  <si>
    <t>ID</t>
    <phoneticPr fontId="1" type="noConversion"/>
  </si>
  <si>
    <t>Name</t>
    <phoneticPr fontId="1" type="noConversion"/>
  </si>
  <si>
    <t>Damage</t>
    <phoneticPr fontId="1" type="noConversion"/>
  </si>
  <si>
    <t>Splash</t>
    <phoneticPr fontId="1" type="noConversion"/>
  </si>
  <si>
    <t>Target</t>
    <phoneticPr fontId="1" type="noConversion"/>
  </si>
  <si>
    <t>Trap</t>
    <phoneticPr fontId="1" type="noConversion"/>
  </si>
  <si>
    <t>Buff</t>
    <phoneticPr fontId="1" type="noConversion"/>
  </si>
  <si>
    <t>attackSpeed</t>
    <phoneticPr fontId="1" type="noConversion"/>
  </si>
  <si>
    <t>attackRange</t>
    <phoneticPr fontId="1" type="noConversion"/>
  </si>
  <si>
    <t>towerLevel</t>
    <phoneticPr fontId="1" type="noConversion"/>
  </si>
  <si>
    <t>attackType</t>
    <phoneticPr fontId="1" type="noConversion"/>
  </si>
  <si>
    <t>targetLayer</t>
    <phoneticPr fontId="1" type="noConversion"/>
  </si>
  <si>
    <t>None</t>
    <phoneticPr fontId="1" type="noConversion"/>
  </si>
  <si>
    <t>buffTarget</t>
    <phoneticPr fontId="1" type="noConversion"/>
  </si>
  <si>
    <t>debuffTarget</t>
    <phoneticPr fontId="1" type="noConversion"/>
  </si>
  <si>
    <t>Debuff</t>
    <phoneticPr fontId="1" type="noConversion"/>
  </si>
  <si>
    <t>Defense</t>
    <phoneticPr fontId="1" type="noConversion"/>
  </si>
  <si>
    <t>CriticalRate</t>
    <phoneticPr fontId="1" type="noConversion"/>
  </si>
  <si>
    <t>CriticalDamage</t>
    <phoneticPr fontId="1" type="noConversion"/>
  </si>
  <si>
    <t>Range</t>
    <phoneticPr fontId="1" type="noConversion"/>
  </si>
  <si>
    <t>attackDamage</t>
    <phoneticPr fontId="1" type="noConversion"/>
  </si>
  <si>
    <t>IsCritical</t>
    <phoneticPr fontId="1" type="noConversion"/>
  </si>
  <si>
    <t>criticalRate</t>
    <phoneticPr fontId="1" type="noConversion"/>
  </si>
  <si>
    <t>criticalDamage</t>
    <phoneticPr fontId="1" type="noConversion"/>
  </si>
  <si>
    <t>duration</t>
    <phoneticPr fontId="1" type="noConversion"/>
  </si>
  <si>
    <t>abilityValue</t>
    <phoneticPr fontId="1" type="noConversion"/>
  </si>
  <si>
    <t>Stun</t>
    <phoneticPr fontId="1" type="noConversion"/>
  </si>
  <si>
    <t>DotDamage</t>
    <phoneticPr fontId="1" type="noConversion"/>
  </si>
  <si>
    <t>Slow</t>
    <phoneticPr fontId="1" type="noConversion"/>
  </si>
  <si>
    <t>Push</t>
    <phoneticPr fontId="1" type="noConversion"/>
  </si>
  <si>
    <t>AttackSpeed</t>
    <phoneticPr fontId="1" type="noConversion"/>
  </si>
  <si>
    <t>Chain</t>
    <phoneticPr fontId="1" type="noConversion"/>
  </si>
  <si>
    <t>BaseDamage</t>
    <phoneticPr fontId="1" type="noConversion"/>
  </si>
  <si>
    <t>Average D</t>
    <phoneticPr fontId="1" type="noConversion"/>
  </si>
  <si>
    <t>Average Cr</t>
    <phoneticPr fontId="1" type="noConversion"/>
  </si>
  <si>
    <t>Weak</t>
    <phoneticPr fontId="1" type="noConversion"/>
  </si>
  <si>
    <t>(광역) 검 타워</t>
    <phoneticPr fontId="1" type="noConversion"/>
  </si>
  <si>
    <t>(단일) 검 타워</t>
    <phoneticPr fontId="1" type="noConversion"/>
  </si>
  <si>
    <t>(함정) 검 타워</t>
    <phoneticPr fontId="1" type="noConversion"/>
  </si>
  <si>
    <t>(버프) 검 타워</t>
    <phoneticPr fontId="1" type="noConversion"/>
  </si>
  <si>
    <t>(광역) 활 타워</t>
    <phoneticPr fontId="1" type="noConversion"/>
  </si>
  <si>
    <t>(단일) 활 타워</t>
    <phoneticPr fontId="1" type="noConversion"/>
  </si>
  <si>
    <t>(함정) 활 타워</t>
    <phoneticPr fontId="1" type="noConversion"/>
  </si>
  <si>
    <t>(버프) 활 타워</t>
    <phoneticPr fontId="1" type="noConversion"/>
  </si>
  <si>
    <t>(광역) 방패 타워</t>
    <phoneticPr fontId="1" type="noConversion"/>
  </si>
  <si>
    <t>(함정) 방패 타워</t>
    <phoneticPr fontId="1" type="noConversion"/>
  </si>
  <si>
    <t>(버프) 방패 타워</t>
    <phoneticPr fontId="1" type="noConversion"/>
  </si>
  <si>
    <t>(단일) 방패 타워</t>
    <phoneticPr fontId="1" type="noConversion"/>
  </si>
  <si>
    <t>(광역) 창 타워</t>
    <phoneticPr fontId="1" type="noConversion"/>
  </si>
  <si>
    <t>(단일) 창 타워</t>
    <phoneticPr fontId="1" type="noConversion"/>
  </si>
  <si>
    <t>(함정) 창 타워</t>
    <phoneticPr fontId="1" type="noConversion"/>
  </si>
  <si>
    <t>(버프) 창 타워</t>
    <phoneticPr fontId="1" type="noConversion"/>
  </si>
  <si>
    <t>(광역) 도끼 타워</t>
    <phoneticPr fontId="1" type="noConversion"/>
  </si>
  <si>
    <t>(단일) 도끼 타워</t>
    <phoneticPr fontId="1" type="noConversion"/>
  </si>
  <si>
    <t>(함정) 도끼 타워</t>
    <phoneticPr fontId="1" type="noConversion"/>
  </si>
  <si>
    <t>(버프) 도끼 타워</t>
    <phoneticPr fontId="1" type="noConversion"/>
  </si>
  <si>
    <t>(광역) 불 타워</t>
    <phoneticPr fontId="1" type="noConversion"/>
  </si>
  <si>
    <t>(단일) 불 타워</t>
    <phoneticPr fontId="1" type="noConversion"/>
  </si>
  <si>
    <t>(함정) 불 타워</t>
    <phoneticPr fontId="1" type="noConversion"/>
  </si>
  <si>
    <t>(버프) 불 타워</t>
    <phoneticPr fontId="1" type="noConversion"/>
  </si>
  <si>
    <t>(광역) 얼음 타워</t>
    <phoneticPr fontId="1" type="noConversion"/>
  </si>
  <si>
    <t>(단일) 얼음 타워</t>
    <phoneticPr fontId="1" type="noConversion"/>
  </si>
  <si>
    <t>(함정) 얼음 타워</t>
    <phoneticPr fontId="1" type="noConversion"/>
  </si>
  <si>
    <t>(버프) 얼음 타워</t>
    <phoneticPr fontId="1" type="noConversion"/>
  </si>
  <si>
    <t>(광역) 전기 타워</t>
    <phoneticPr fontId="1" type="noConversion"/>
  </si>
  <si>
    <t>(단일) 전기 타워</t>
    <phoneticPr fontId="1" type="noConversion"/>
  </si>
  <si>
    <t>(함정) 전기 타워</t>
    <phoneticPr fontId="1" type="noConversion"/>
  </si>
  <si>
    <t>(버프) 전기 타워</t>
    <phoneticPr fontId="1" type="noConversion"/>
  </si>
  <si>
    <t>(광역) 바람 타워</t>
    <phoneticPr fontId="1" type="noConversion"/>
  </si>
  <si>
    <t>(단일) 바람 타워</t>
    <phoneticPr fontId="1" type="noConversion"/>
  </si>
  <si>
    <t>(함정) 바람 타워</t>
    <phoneticPr fontId="1" type="noConversion"/>
  </si>
  <si>
    <t>(버프) 바람 타워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</si>
</sst>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886-D423-49F7-A171-876DD189AEFA}">
  <dimension ref="A1:X189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1.25" x14ac:dyDescent="0.3"/>
  <cols>
    <col min="1" max="1" width="4.5" style="1" bestFit="1" customWidth="1"/>
    <col min="2" max="2" width="9.75" style="1" bestFit="1" customWidth="1"/>
    <col min="3" max="3" width="8.25" style="1" bestFit="1" customWidth="1"/>
    <col min="4" max="4" width="10.875" style="1" bestFit="1" customWidth="1"/>
    <col min="5" max="6" width="9.375" style="1" bestFit="1" customWidth="1"/>
    <col min="7" max="7" width="6.875" style="1" bestFit="1" customWidth="1"/>
    <col min="8" max="8" width="8.5" style="1" bestFit="1" customWidth="1"/>
    <col min="9" max="9" width="11.125" style="1" bestFit="1" customWidth="1"/>
    <col min="10" max="10" width="6.875" style="1" bestFit="1" customWidth="1"/>
    <col min="11" max="11" width="8.875" style="1" bestFit="1" customWidth="1"/>
    <col min="12" max="12" width="8.375" style="1" bestFit="1" customWidth="1"/>
    <col min="13" max="13" width="8.625" style="1" bestFit="1" customWidth="1"/>
    <col min="14" max="14" width="11.375" style="1" bestFit="1" customWidth="1"/>
    <col min="15" max="15" width="9.625" style="1" bestFit="1" customWidth="1"/>
    <col min="16" max="16384" width="9" style="2"/>
  </cols>
  <sheetData>
    <row r="1" spans="1:24" ht="24.95" customHeight="1" x14ac:dyDescent="0.3">
      <c r="A1" s="1" t="s">
        <v>0</v>
      </c>
      <c r="B1" s="1" t="s">
        <v>1</v>
      </c>
      <c r="C1" s="1" t="s">
        <v>9</v>
      </c>
      <c r="D1" s="1" t="s">
        <v>20</v>
      </c>
      <c r="E1" s="1" t="s">
        <v>8</v>
      </c>
      <c r="F1" s="1" t="s">
        <v>7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10</v>
      </c>
      <c r="M1" s="1" t="s">
        <v>11</v>
      </c>
      <c r="N1" s="1" t="s">
        <v>13</v>
      </c>
      <c r="O1" s="1" t="s">
        <v>14</v>
      </c>
      <c r="Q1" s="2" t="s">
        <v>32</v>
      </c>
      <c r="R1" s="2" t="s">
        <v>18</v>
      </c>
      <c r="T1" s="1" t="s">
        <v>33</v>
      </c>
      <c r="U1" s="1" t="s">
        <v>34</v>
      </c>
    </row>
    <row r="2" spans="1:24" x14ac:dyDescent="0.3">
      <c r="A2" s="1">
        <v>1101</v>
      </c>
      <c r="B2" s="1" t="s">
        <v>36</v>
      </c>
      <c r="C2" s="1">
        <v>1</v>
      </c>
      <c r="D2" s="1">
        <v>2.5</v>
      </c>
      <c r="E2" s="1">
        <v>2.1</v>
      </c>
      <c r="F2" s="1">
        <v>0.23</v>
      </c>
      <c r="G2" s="1" t="b">
        <v>0</v>
      </c>
      <c r="H2" s="1">
        <v>0.04</v>
      </c>
      <c r="I2" s="1">
        <v>0.08</v>
      </c>
      <c r="J2" s="1">
        <v>0.5</v>
      </c>
      <c r="K2" s="1">
        <v>8.6957000000000004</v>
      </c>
      <c r="L2" s="1" t="s">
        <v>3</v>
      </c>
      <c r="M2" s="1" t="str">
        <f t="shared" ref="M2:M4" si="0">IF(L2="Buff","Tower","Enemy")</f>
        <v>Enemy</v>
      </c>
      <c r="N2" s="1" t="s">
        <v>12</v>
      </c>
      <c r="O2" s="1" t="s">
        <v>12</v>
      </c>
      <c r="Q2" s="2">
        <f>ROUND(60*(D2*F2),2)</f>
        <v>34.5</v>
      </c>
      <c r="R2" s="2">
        <f>ROUND(((Q2*H2*(2+I2))+Q2*(1-H2)),2)</f>
        <v>35.99</v>
      </c>
      <c r="T2" s="2">
        <f>ROUND(AVERAGE(Q2,Q23,Q44,Q65,Q86,Q107,Q149,Q170),2)</f>
        <v>25.54</v>
      </c>
      <c r="U2" s="2">
        <f>ROUND(AVERAGE(R2,R23,R44,R65,R86,R107,R149,R170),2)</f>
        <v>27.01</v>
      </c>
      <c r="W2" s="3">
        <f>Q2-$T$2</f>
        <v>8.9600000000000009</v>
      </c>
      <c r="X2" s="3">
        <f>R2-$U$2</f>
        <v>8.98</v>
      </c>
    </row>
    <row r="3" spans="1:24" x14ac:dyDescent="0.3">
      <c r="A3" s="1">
        <f>A2+100</f>
        <v>1201</v>
      </c>
      <c r="B3" s="1" t="s">
        <v>37</v>
      </c>
      <c r="C3" s="1">
        <v>1</v>
      </c>
      <c r="D3" s="1">
        <v>1.87</v>
      </c>
      <c r="E3" s="1">
        <v>2.1</v>
      </c>
      <c r="F3" s="1">
        <v>0.375</v>
      </c>
      <c r="G3" s="1" t="b">
        <v>0</v>
      </c>
      <c r="H3" s="1">
        <v>7.4999999999999997E-2</v>
      </c>
      <c r="I3" s="1">
        <v>0.04</v>
      </c>
      <c r="J3" s="1">
        <v>0</v>
      </c>
      <c r="K3" s="1">
        <v>0</v>
      </c>
      <c r="L3" s="1" t="s">
        <v>4</v>
      </c>
      <c r="M3" s="1" t="str">
        <f t="shared" si="0"/>
        <v>Enemy</v>
      </c>
      <c r="N3" s="1" t="s">
        <v>12</v>
      </c>
      <c r="O3" s="1" t="s">
        <v>12</v>
      </c>
      <c r="Q3" s="2">
        <f t="shared" ref="Q3:Q21" si="1">ROUND(60*(D3*F3),2)</f>
        <v>42.08</v>
      </c>
      <c r="R3" s="2">
        <f t="shared" ref="R3:R21" si="2">ROUND((Q3*H3*(2+I3))+Q3*(1-H3),2)</f>
        <v>45.36</v>
      </c>
      <c r="T3" s="2">
        <f t="shared" ref="T3:T21" si="3">ROUND(AVERAGE(Q3,Q24,Q45,Q66,Q87,Q108,Q150,Q171),2)</f>
        <v>33.96</v>
      </c>
      <c r="U3" s="2">
        <f t="shared" ref="U3:U21" si="4">ROUND(AVERAGE(R3,R24,R45,R66,R87,R108,R150,R171),2)</f>
        <v>36.51</v>
      </c>
      <c r="W3" s="4">
        <f>Q3-$T$3</f>
        <v>8.1199999999999974</v>
      </c>
      <c r="X3" s="4">
        <f>R3-$U$3</f>
        <v>8.8500000000000014</v>
      </c>
    </row>
    <row r="4" spans="1:24" x14ac:dyDescent="0.3">
      <c r="A4" s="1">
        <f>A2+200</f>
        <v>1301</v>
      </c>
      <c r="B4" s="1" t="s">
        <v>38</v>
      </c>
      <c r="C4" s="1">
        <v>1</v>
      </c>
      <c r="D4" s="1">
        <v>15</v>
      </c>
      <c r="E4" s="1">
        <v>2.1</v>
      </c>
      <c r="F4" s="1">
        <v>0.01</v>
      </c>
      <c r="G4" s="1" t="b">
        <v>0</v>
      </c>
      <c r="H4" s="1">
        <v>0</v>
      </c>
      <c r="I4" s="1">
        <v>0</v>
      </c>
      <c r="J4" s="1">
        <v>30</v>
      </c>
      <c r="K4" s="1">
        <v>0</v>
      </c>
      <c r="L4" s="1" t="s">
        <v>5</v>
      </c>
      <c r="M4" s="1" t="str">
        <f t="shared" si="0"/>
        <v>Enemy</v>
      </c>
      <c r="N4" s="1" t="s">
        <v>12</v>
      </c>
      <c r="O4" s="1" t="s">
        <v>12</v>
      </c>
      <c r="Q4" s="2">
        <f t="shared" si="1"/>
        <v>9</v>
      </c>
      <c r="R4" s="2">
        <f t="shared" si="2"/>
        <v>9</v>
      </c>
      <c r="T4" s="2">
        <f t="shared" si="3"/>
        <v>9.08</v>
      </c>
      <c r="U4" s="2">
        <f t="shared" si="4"/>
        <v>9.08</v>
      </c>
      <c r="W4" s="5">
        <f>Q4-$T$4</f>
        <v>-8.0000000000000071E-2</v>
      </c>
      <c r="X4" s="5">
        <f>R4-$U$4</f>
        <v>-8.0000000000000071E-2</v>
      </c>
    </row>
    <row r="5" spans="1:24" x14ac:dyDescent="0.3">
      <c r="A5" s="1">
        <f>A2+300</f>
        <v>1401</v>
      </c>
      <c r="B5" s="1" t="s">
        <v>39</v>
      </c>
      <c r="C5" s="1">
        <v>1</v>
      </c>
      <c r="D5" s="1">
        <v>0</v>
      </c>
      <c r="E5" s="1">
        <v>1</v>
      </c>
      <c r="F5" s="1">
        <v>1</v>
      </c>
      <c r="G5" s="1" t="b">
        <v>0</v>
      </c>
      <c r="H5" s="1">
        <v>0</v>
      </c>
      <c r="I5" s="1">
        <v>0</v>
      </c>
      <c r="J5" s="1">
        <v>1</v>
      </c>
      <c r="K5" s="1">
        <f>IF(L5="Buff",1.2,8.6957)</f>
        <v>1.2</v>
      </c>
      <c r="L5" s="1" t="s">
        <v>6</v>
      </c>
      <c r="M5" s="1" t="str">
        <f>IF(L5="Buff","Tower","Enemy")</f>
        <v>Tower</v>
      </c>
      <c r="N5" s="1" t="s">
        <v>2</v>
      </c>
      <c r="O5" s="1" t="s">
        <v>12</v>
      </c>
      <c r="Q5" s="2">
        <f t="shared" si="1"/>
        <v>0</v>
      </c>
      <c r="R5" s="2">
        <f t="shared" si="2"/>
        <v>0</v>
      </c>
      <c r="T5" s="2">
        <f t="shared" si="3"/>
        <v>7.5</v>
      </c>
      <c r="U5" s="2">
        <f t="shared" si="4"/>
        <v>7.5</v>
      </c>
      <c r="W5" s="6">
        <f>Q5-$T$5</f>
        <v>-7.5</v>
      </c>
      <c r="X5" s="6">
        <f>R5-$U$5</f>
        <v>-7.5</v>
      </c>
    </row>
    <row r="6" spans="1:24" x14ac:dyDescent="0.3">
      <c r="A6" s="1">
        <f>A2+1000</f>
        <v>2101</v>
      </c>
      <c r="B6" s="1" t="str">
        <f>B2</f>
        <v>(광역) 검 타워</v>
      </c>
      <c r="C6" s="1">
        <v>1</v>
      </c>
      <c r="D6" s="1">
        <f>ROUND(D2*1.8,2)</f>
        <v>4.5</v>
      </c>
      <c r="E6" s="1">
        <f>ROUND(E2,2)</f>
        <v>2.1</v>
      </c>
      <c r="F6" s="1">
        <f>ROUND(F2*2.1,2)</f>
        <v>0.48</v>
      </c>
      <c r="G6" s="1" t="b">
        <v>0</v>
      </c>
      <c r="H6" s="1">
        <f>IF(H2*1.2 &lt;= 1, H2*1.2, 1)</f>
        <v>4.8000000000000001E-2</v>
      </c>
      <c r="I6" s="1">
        <f>ROUND(I2*1.2,2)</f>
        <v>0.1</v>
      </c>
      <c r="J6" s="1">
        <f>ROUND(J2*1.5,2)</f>
        <v>0.75</v>
      </c>
      <c r="K6" s="1">
        <v>25</v>
      </c>
      <c r="L6" s="1" t="str">
        <f>L2</f>
        <v>Splash</v>
      </c>
      <c r="M6" s="1" t="str">
        <f t="shared" ref="M6:M21" si="5">IF(L6="Buff","Tower","Enemy")</f>
        <v>Enemy</v>
      </c>
      <c r="N6" s="1" t="s">
        <v>12</v>
      </c>
      <c r="O6" s="1" t="s">
        <v>12</v>
      </c>
      <c r="Q6" s="2">
        <f t="shared" si="1"/>
        <v>129.6</v>
      </c>
      <c r="R6" s="2">
        <f t="shared" si="2"/>
        <v>136.44</v>
      </c>
      <c r="T6" s="2">
        <f t="shared" si="3"/>
        <v>96.69</v>
      </c>
      <c r="U6" s="2">
        <f t="shared" si="4"/>
        <v>103.51</v>
      </c>
      <c r="W6" s="3">
        <f>Q6-$T$6</f>
        <v>32.909999999999997</v>
      </c>
      <c r="X6" s="3">
        <f>R6-$U$6</f>
        <v>32.929999999999993</v>
      </c>
    </row>
    <row r="7" spans="1:24" x14ac:dyDescent="0.3">
      <c r="A7" s="1">
        <f>A3+1000</f>
        <v>2201</v>
      </c>
      <c r="B7" s="1" t="str">
        <f>B3</f>
        <v>(단일) 검 타워</v>
      </c>
      <c r="C7" s="1">
        <v>1</v>
      </c>
      <c r="D7" s="1">
        <f>ROUND(D3*1.7,2)</f>
        <v>3.18</v>
      </c>
      <c r="E7" s="1">
        <f>ROUND(E3,2)</f>
        <v>2.1</v>
      </c>
      <c r="F7" s="1">
        <f>ROUND(F3*2.2,2)</f>
        <v>0.83</v>
      </c>
      <c r="G7" s="1" t="b">
        <v>0</v>
      </c>
      <c r="H7" s="1">
        <f>IF(H3*1.2 &lt;= 1, H3*1.2, 1)</f>
        <v>0.09</v>
      </c>
      <c r="I7" s="1">
        <f>ROUND(I3*1.2,2)</f>
        <v>0.05</v>
      </c>
      <c r="J7" s="1">
        <f t="shared" ref="J7:J21" si="6">J3</f>
        <v>0</v>
      </c>
      <c r="K7" s="1">
        <v>0</v>
      </c>
      <c r="L7" s="1" t="str">
        <f>L3</f>
        <v>Target</v>
      </c>
      <c r="M7" s="1" t="str">
        <f t="shared" si="5"/>
        <v>Enemy</v>
      </c>
      <c r="N7" s="1" t="s">
        <v>12</v>
      </c>
      <c r="O7" s="1" t="s">
        <v>12</v>
      </c>
      <c r="Q7" s="2">
        <f t="shared" si="1"/>
        <v>158.36000000000001</v>
      </c>
      <c r="R7" s="2">
        <f t="shared" si="2"/>
        <v>173.33</v>
      </c>
      <c r="T7" s="2">
        <f t="shared" si="3"/>
        <v>127.57</v>
      </c>
      <c r="U7" s="2">
        <f t="shared" si="4"/>
        <v>139.41</v>
      </c>
      <c r="W7" s="4">
        <f>Q7-$T$7</f>
        <v>30.79000000000002</v>
      </c>
      <c r="X7" s="4">
        <f>R7-$U$7</f>
        <v>33.920000000000016</v>
      </c>
    </row>
    <row r="8" spans="1:24" x14ac:dyDescent="0.3">
      <c r="A8" s="1">
        <f t="shared" ref="A8:A21" si="7">A4+1000</f>
        <v>2301</v>
      </c>
      <c r="B8" s="1" t="str">
        <f>B4</f>
        <v>(함정) 검 타워</v>
      </c>
      <c r="C8" s="1">
        <v>1</v>
      </c>
      <c r="D8" s="1">
        <f>ROUND(D4*2,2)</f>
        <v>30</v>
      </c>
      <c r="E8" s="1">
        <f>ROUND(E4,2)</f>
        <v>2.1</v>
      </c>
      <c r="F8" s="1">
        <f>ROUND(F4*2.1,2)</f>
        <v>0.02</v>
      </c>
      <c r="G8" s="1" t="b">
        <v>0</v>
      </c>
      <c r="H8" s="1">
        <v>0</v>
      </c>
      <c r="I8" s="1">
        <v>0</v>
      </c>
      <c r="J8" s="1">
        <f t="shared" si="6"/>
        <v>30</v>
      </c>
      <c r="K8" s="1">
        <v>0</v>
      </c>
      <c r="L8" s="1" t="str">
        <f>L4</f>
        <v>Trap</v>
      </c>
      <c r="M8" s="1" t="str">
        <f t="shared" si="5"/>
        <v>Enemy</v>
      </c>
      <c r="N8" s="1" t="s">
        <v>12</v>
      </c>
      <c r="O8" s="1" t="s">
        <v>12</v>
      </c>
      <c r="Q8" s="2">
        <f t="shared" si="1"/>
        <v>36</v>
      </c>
      <c r="R8" s="2">
        <f t="shared" si="2"/>
        <v>36</v>
      </c>
      <c r="T8" s="2">
        <f t="shared" si="3"/>
        <v>38.28</v>
      </c>
      <c r="U8" s="2">
        <f t="shared" si="4"/>
        <v>38.28</v>
      </c>
      <c r="W8" s="5">
        <f>Q8-$T$8</f>
        <v>-2.2800000000000011</v>
      </c>
      <c r="X8" s="5">
        <f>R8-$U$8</f>
        <v>-2.2800000000000011</v>
      </c>
    </row>
    <row r="9" spans="1:24" x14ac:dyDescent="0.3">
      <c r="A9" s="1">
        <f t="shared" si="7"/>
        <v>2401</v>
      </c>
      <c r="B9" s="1" t="str">
        <f>B5</f>
        <v>(버프) 검 타워</v>
      </c>
      <c r="C9" s="1">
        <v>1</v>
      </c>
      <c r="D9" s="1">
        <v>0</v>
      </c>
      <c r="E9" s="1">
        <f>E5+0</f>
        <v>1</v>
      </c>
      <c r="F9" s="1">
        <v>1</v>
      </c>
      <c r="G9" s="1" t="b">
        <v>0</v>
      </c>
      <c r="H9" s="1">
        <v>0</v>
      </c>
      <c r="I9" s="1">
        <v>0</v>
      </c>
      <c r="J9" s="1">
        <f t="shared" si="6"/>
        <v>1</v>
      </c>
      <c r="K9" s="1">
        <f>IF(L9="Buff",1.4,25)</f>
        <v>1.4</v>
      </c>
      <c r="L9" s="1" t="str">
        <f>L5</f>
        <v>Buff</v>
      </c>
      <c r="M9" s="1" t="str">
        <f t="shared" si="5"/>
        <v>Tower</v>
      </c>
      <c r="N9" s="1" t="str">
        <f>N5</f>
        <v>Damage</v>
      </c>
      <c r="O9" s="1" t="str">
        <f>O5</f>
        <v>None</v>
      </c>
      <c r="Q9" s="2">
        <f t="shared" si="1"/>
        <v>0</v>
      </c>
      <c r="R9" s="2">
        <f t="shared" si="2"/>
        <v>0</v>
      </c>
      <c r="T9" s="2">
        <f t="shared" si="3"/>
        <v>15</v>
      </c>
      <c r="U9" s="2">
        <f t="shared" si="4"/>
        <v>15</v>
      </c>
      <c r="W9" s="6">
        <f>Q9-$T$9</f>
        <v>-15</v>
      </c>
      <c r="X9" s="6">
        <f>R9-$U$9</f>
        <v>-15</v>
      </c>
    </row>
    <row r="10" spans="1:24" x14ac:dyDescent="0.3">
      <c r="A10" s="1">
        <f t="shared" si="7"/>
        <v>3101</v>
      </c>
      <c r="B10" s="1" t="str">
        <f>B2</f>
        <v>(광역) 검 타워</v>
      </c>
      <c r="C10" s="1">
        <v>1</v>
      </c>
      <c r="D10" s="1">
        <f>ROUND(D6*2.25,2)</f>
        <v>10.130000000000001</v>
      </c>
      <c r="E10" s="1">
        <f>ROUND(E6,2)</f>
        <v>2.1</v>
      </c>
      <c r="F10" s="1">
        <f>ROUND(F6*2.2,2)</f>
        <v>1.06</v>
      </c>
      <c r="G10" s="1" t="b">
        <v>0</v>
      </c>
      <c r="H10" s="1">
        <f>IF(H6*1.4 &lt;= 1, H6*1.4, 1)</f>
        <v>6.7199999999999996E-2</v>
      </c>
      <c r="I10" s="1">
        <f>ROUND(I6*1.5,2)</f>
        <v>0.15</v>
      </c>
      <c r="J10" s="1">
        <f>ROUND(J2*2,2)</f>
        <v>1</v>
      </c>
      <c r="K10" s="1">
        <v>60</v>
      </c>
      <c r="L10" s="1" t="str">
        <f t="shared" ref="L10:L21" si="8">L6</f>
        <v>Splash</v>
      </c>
      <c r="M10" s="1" t="str">
        <f t="shared" si="5"/>
        <v>Enemy</v>
      </c>
      <c r="N10" s="1" t="s">
        <v>12</v>
      </c>
      <c r="O10" s="1" t="s">
        <v>12</v>
      </c>
      <c r="Q10" s="2">
        <f t="shared" si="1"/>
        <v>644.27</v>
      </c>
      <c r="R10" s="2">
        <f t="shared" si="2"/>
        <v>694.06</v>
      </c>
      <c r="T10" s="2">
        <f t="shared" si="3"/>
        <v>479.72</v>
      </c>
      <c r="U10" s="2">
        <f t="shared" si="4"/>
        <v>530</v>
      </c>
      <c r="W10" s="3">
        <f>Q10-$T$10</f>
        <v>164.54999999999995</v>
      </c>
      <c r="X10" s="3">
        <f>R10-$U$10</f>
        <v>164.05999999999995</v>
      </c>
    </row>
    <row r="11" spans="1:24" x14ac:dyDescent="0.3">
      <c r="A11" s="1">
        <f t="shared" si="7"/>
        <v>3201</v>
      </c>
      <c r="B11" s="1" t="str">
        <f>B3</f>
        <v>(단일) 검 타워</v>
      </c>
      <c r="C11" s="1">
        <v>1</v>
      </c>
      <c r="D11" s="1">
        <f>ROUND(D7*2,2)</f>
        <v>6.36</v>
      </c>
      <c r="E11" s="1">
        <f>ROUND(E7,2)</f>
        <v>2.1</v>
      </c>
      <c r="F11" s="1">
        <f>ROUND(F7*2.4,2)</f>
        <v>1.99</v>
      </c>
      <c r="G11" s="1" t="b">
        <v>0</v>
      </c>
      <c r="H11" s="1">
        <f>IF(H7*1.4 &lt;= 1, H7*1.4, 1)</f>
        <v>0.126</v>
      </c>
      <c r="I11" s="1">
        <f>ROUND(I7*1.5,2)</f>
        <v>0.08</v>
      </c>
      <c r="J11" s="1">
        <f t="shared" si="6"/>
        <v>0</v>
      </c>
      <c r="K11" s="1">
        <v>0</v>
      </c>
      <c r="L11" s="1" t="str">
        <f t="shared" si="8"/>
        <v>Target</v>
      </c>
      <c r="M11" s="1" t="str">
        <f t="shared" si="5"/>
        <v>Enemy</v>
      </c>
      <c r="N11" s="1" t="s">
        <v>12</v>
      </c>
      <c r="O11" s="1" t="s">
        <v>12</v>
      </c>
      <c r="Q11" s="2">
        <f t="shared" si="1"/>
        <v>759.38</v>
      </c>
      <c r="R11" s="2">
        <f t="shared" si="2"/>
        <v>862.72</v>
      </c>
      <c r="T11" s="2">
        <f t="shared" si="3"/>
        <v>612.57000000000005</v>
      </c>
      <c r="U11" s="2">
        <f t="shared" si="4"/>
        <v>699.51</v>
      </c>
      <c r="W11" s="4">
        <f>Q11-$T$11</f>
        <v>146.80999999999995</v>
      </c>
      <c r="X11" s="4">
        <f>R11-$U$11</f>
        <v>163.21000000000004</v>
      </c>
    </row>
    <row r="12" spans="1:24" x14ac:dyDescent="0.3">
      <c r="A12" s="1">
        <f t="shared" si="7"/>
        <v>3301</v>
      </c>
      <c r="B12" s="1" t="str">
        <f>B4</f>
        <v>(함정) 검 타워</v>
      </c>
      <c r="C12" s="1">
        <v>1</v>
      </c>
      <c r="D12" s="1">
        <f>ROUND(D8*2.5,2)</f>
        <v>75</v>
      </c>
      <c r="E12" s="1">
        <f>ROUND(E8,2)</f>
        <v>2.1</v>
      </c>
      <c r="F12" s="1">
        <f>ROUND(F8*2.2,2)</f>
        <v>0.04</v>
      </c>
      <c r="G12" s="1" t="b">
        <v>0</v>
      </c>
      <c r="H12" s="1">
        <v>0</v>
      </c>
      <c r="I12" s="1">
        <v>0</v>
      </c>
      <c r="J12" s="1">
        <f t="shared" si="6"/>
        <v>30</v>
      </c>
      <c r="K12" s="1">
        <v>0</v>
      </c>
      <c r="L12" s="1" t="str">
        <f t="shared" si="8"/>
        <v>Trap</v>
      </c>
      <c r="M12" s="1" t="str">
        <f t="shared" si="5"/>
        <v>Enemy</v>
      </c>
      <c r="N12" s="1" t="s">
        <v>12</v>
      </c>
      <c r="O12" s="1" t="s">
        <v>12</v>
      </c>
      <c r="Q12" s="2">
        <f t="shared" si="1"/>
        <v>180</v>
      </c>
      <c r="R12" s="2">
        <f t="shared" si="2"/>
        <v>180</v>
      </c>
      <c r="T12" s="2">
        <f t="shared" si="3"/>
        <v>208.8</v>
      </c>
      <c r="U12" s="2">
        <f t="shared" si="4"/>
        <v>208.8</v>
      </c>
      <c r="W12" s="5">
        <f>Q12-$T$12</f>
        <v>-28.800000000000011</v>
      </c>
      <c r="X12" s="5">
        <f>R12-$U$12</f>
        <v>-28.800000000000011</v>
      </c>
    </row>
    <row r="13" spans="1:24" x14ac:dyDescent="0.3">
      <c r="A13" s="1">
        <f t="shared" si="7"/>
        <v>3401</v>
      </c>
      <c r="B13" s="1" t="str">
        <f>B5</f>
        <v>(버프) 검 타워</v>
      </c>
      <c r="C13" s="1">
        <v>1</v>
      </c>
      <c r="D13" s="1">
        <v>0</v>
      </c>
      <c r="E13" s="1">
        <f>E9+1</f>
        <v>2</v>
      </c>
      <c r="F13" s="1">
        <v>1</v>
      </c>
      <c r="G13" s="1" t="b">
        <v>0</v>
      </c>
      <c r="H13" s="1">
        <v>0</v>
      </c>
      <c r="I13" s="1">
        <v>0</v>
      </c>
      <c r="J13" s="1">
        <f t="shared" si="6"/>
        <v>1</v>
      </c>
      <c r="K13" s="1">
        <f>IF(L13="Buff",2,60)</f>
        <v>2</v>
      </c>
      <c r="L13" s="1" t="str">
        <f t="shared" si="8"/>
        <v>Buff</v>
      </c>
      <c r="M13" s="1" t="str">
        <f t="shared" si="5"/>
        <v>Tower</v>
      </c>
      <c r="N13" s="1" t="str">
        <f>N9</f>
        <v>Damage</v>
      </c>
      <c r="O13" s="1" t="str">
        <f>O9</f>
        <v>None</v>
      </c>
      <c r="Q13" s="2">
        <f t="shared" si="1"/>
        <v>0</v>
      </c>
      <c r="R13" s="2">
        <f t="shared" si="2"/>
        <v>0</v>
      </c>
      <c r="T13" s="2">
        <f t="shared" si="3"/>
        <v>22.5</v>
      </c>
      <c r="U13" s="2">
        <f t="shared" si="4"/>
        <v>22.5</v>
      </c>
      <c r="W13" s="6">
        <f>Q13-$T$13</f>
        <v>-22.5</v>
      </c>
      <c r="X13" s="6">
        <f>R13-$U$13</f>
        <v>-22.5</v>
      </c>
    </row>
    <row r="14" spans="1:24" x14ac:dyDescent="0.3">
      <c r="A14" s="1">
        <f t="shared" si="7"/>
        <v>4101</v>
      </c>
      <c r="B14" s="1" t="str">
        <f>B2</f>
        <v>(광역) 검 타워</v>
      </c>
      <c r="C14" s="1">
        <v>1</v>
      </c>
      <c r="D14" s="1">
        <f>ROUND(D10*3,2)</f>
        <v>30.39</v>
      </c>
      <c r="E14" s="1">
        <f>ROUND(E10*1.1,2)</f>
        <v>2.31</v>
      </c>
      <c r="F14" s="1">
        <f>ROUND(F10*2.5,2)</f>
        <v>2.65</v>
      </c>
      <c r="G14" s="1" t="b">
        <v>0</v>
      </c>
      <c r="H14" s="1">
        <f>IF(H10*1.6 &lt;= 1, H10*1.6, 1)</f>
        <v>0.10752</v>
      </c>
      <c r="I14" s="1">
        <f>ROUND(I10*2,2)</f>
        <v>0.3</v>
      </c>
      <c r="J14" s="1">
        <f>ROUND(J2*3,2)</f>
        <v>1.5</v>
      </c>
      <c r="K14" s="1">
        <v>150</v>
      </c>
      <c r="L14" s="1" t="str">
        <f t="shared" si="8"/>
        <v>Splash</v>
      </c>
      <c r="M14" s="1" t="str">
        <f t="shared" si="5"/>
        <v>Enemy</v>
      </c>
      <c r="N14" s="1" t="s">
        <v>12</v>
      </c>
      <c r="O14" s="1" t="s">
        <v>12</v>
      </c>
      <c r="Q14" s="2">
        <f t="shared" si="1"/>
        <v>4832.01</v>
      </c>
      <c r="R14" s="2">
        <f t="shared" si="2"/>
        <v>5507.41</v>
      </c>
      <c r="T14" s="2">
        <f t="shared" si="3"/>
        <v>3601.59</v>
      </c>
      <c r="U14" s="2">
        <f t="shared" si="4"/>
        <v>4306.1000000000004</v>
      </c>
      <c r="W14" s="3">
        <f>Q14-$T$14</f>
        <v>1230.42</v>
      </c>
      <c r="X14" s="3">
        <f>R14-$U$14</f>
        <v>1201.3099999999995</v>
      </c>
    </row>
    <row r="15" spans="1:24" x14ac:dyDescent="0.3">
      <c r="A15" s="1">
        <f t="shared" si="7"/>
        <v>4201</v>
      </c>
      <c r="B15" s="1" t="str">
        <f>B3</f>
        <v>(단일) 검 타워</v>
      </c>
      <c r="C15" s="1">
        <v>1</v>
      </c>
      <c r="D15" s="1">
        <f>ROUND(D11*3,2)</f>
        <v>19.079999999999998</v>
      </c>
      <c r="E15" s="1">
        <f>ROUND(E11*1.1,2)</f>
        <v>2.31</v>
      </c>
      <c r="F15" s="1">
        <f>ROUND(F11*2.75,2)</f>
        <v>5.47</v>
      </c>
      <c r="G15" s="1" t="b">
        <v>0</v>
      </c>
      <c r="H15" s="1">
        <f>IF(H11*1.6 &lt;= 1, H11*1.6, 1)</f>
        <v>0.2016</v>
      </c>
      <c r="I15" s="1">
        <f>ROUND(I11*2,2)</f>
        <v>0.16</v>
      </c>
      <c r="J15" s="1">
        <f t="shared" si="6"/>
        <v>0</v>
      </c>
      <c r="K15" s="1">
        <v>0</v>
      </c>
      <c r="L15" s="1" t="str">
        <f t="shared" si="8"/>
        <v>Target</v>
      </c>
      <c r="M15" s="1" t="str">
        <f t="shared" si="5"/>
        <v>Enemy</v>
      </c>
      <c r="N15" s="1" t="s">
        <v>12</v>
      </c>
      <c r="O15" s="1" t="s">
        <v>12</v>
      </c>
      <c r="Q15" s="2">
        <f t="shared" si="1"/>
        <v>6262.06</v>
      </c>
      <c r="R15" s="2">
        <f t="shared" si="2"/>
        <v>7726.48</v>
      </c>
      <c r="T15" s="2">
        <f t="shared" si="3"/>
        <v>5055.3500000000004</v>
      </c>
      <c r="U15" s="2">
        <f t="shared" si="4"/>
        <v>6489.95</v>
      </c>
      <c r="W15" s="4">
        <f>Q15-$T$15</f>
        <v>1206.71</v>
      </c>
      <c r="X15" s="4">
        <f>R15-$U$15</f>
        <v>1236.5299999999997</v>
      </c>
    </row>
    <row r="16" spans="1:24" x14ac:dyDescent="0.3">
      <c r="A16" s="1">
        <f t="shared" si="7"/>
        <v>4301</v>
      </c>
      <c r="B16" s="1" t="str">
        <f>B4</f>
        <v>(함정) 검 타워</v>
      </c>
      <c r="C16" s="1">
        <v>1</v>
      </c>
      <c r="D16" s="1">
        <f>ROUND(D12*3,2)</f>
        <v>225</v>
      </c>
      <c r="E16" s="1">
        <f>ROUND(E12*1.1,2)</f>
        <v>2.31</v>
      </c>
      <c r="F16" s="1">
        <f>ROUND(F12*2.5,2)</f>
        <v>0.1</v>
      </c>
      <c r="G16" s="1" t="b">
        <v>0</v>
      </c>
      <c r="H16" s="1">
        <v>0</v>
      </c>
      <c r="I16" s="1">
        <v>0</v>
      </c>
      <c r="J16" s="1">
        <f t="shared" si="6"/>
        <v>30</v>
      </c>
      <c r="K16" s="1">
        <v>0</v>
      </c>
      <c r="L16" s="1" t="str">
        <f t="shared" si="8"/>
        <v>Trap</v>
      </c>
      <c r="M16" s="1" t="str">
        <f t="shared" si="5"/>
        <v>Enemy</v>
      </c>
      <c r="N16" s="1" t="s">
        <v>12</v>
      </c>
      <c r="O16" s="1" t="s">
        <v>12</v>
      </c>
      <c r="Q16" s="2">
        <f t="shared" si="1"/>
        <v>1350</v>
      </c>
      <c r="R16" s="2">
        <f t="shared" si="2"/>
        <v>1350</v>
      </c>
      <c r="T16" s="2">
        <f t="shared" si="3"/>
        <v>1570.5</v>
      </c>
      <c r="U16" s="2">
        <f t="shared" si="4"/>
        <v>1570.5</v>
      </c>
      <c r="W16" s="5">
        <f>Q16-$T$16</f>
        <v>-220.5</v>
      </c>
      <c r="X16" s="5">
        <f>R16-$U$16</f>
        <v>-220.5</v>
      </c>
    </row>
    <row r="17" spans="1:24" x14ac:dyDescent="0.3">
      <c r="A17" s="1">
        <f t="shared" si="7"/>
        <v>4401</v>
      </c>
      <c r="B17" s="1" t="str">
        <f>B5</f>
        <v>(버프) 검 타워</v>
      </c>
      <c r="C17" s="1">
        <v>1</v>
      </c>
      <c r="D17" s="1">
        <v>0</v>
      </c>
      <c r="E17" s="1">
        <f>E13+2</f>
        <v>4</v>
      </c>
      <c r="F17" s="1">
        <v>1</v>
      </c>
      <c r="G17" s="1" t="b">
        <v>0</v>
      </c>
      <c r="H17" s="1">
        <v>0</v>
      </c>
      <c r="I17" s="1">
        <v>0</v>
      </c>
      <c r="J17" s="1">
        <f t="shared" si="6"/>
        <v>1</v>
      </c>
      <c r="K17" s="1">
        <f>IF(L17="Buff",3,150)</f>
        <v>3</v>
      </c>
      <c r="L17" s="1" t="str">
        <f t="shared" si="8"/>
        <v>Buff</v>
      </c>
      <c r="M17" s="1" t="str">
        <f t="shared" si="5"/>
        <v>Tower</v>
      </c>
      <c r="N17" s="1" t="str">
        <f>N13</f>
        <v>Damage</v>
      </c>
      <c r="O17" s="1" t="str">
        <f>O13</f>
        <v>None</v>
      </c>
      <c r="Q17" s="2">
        <f t="shared" si="1"/>
        <v>0</v>
      </c>
      <c r="R17" s="2">
        <f t="shared" si="2"/>
        <v>0</v>
      </c>
      <c r="T17" s="2">
        <f t="shared" si="3"/>
        <v>37.5</v>
      </c>
      <c r="U17" s="2">
        <f t="shared" si="4"/>
        <v>37.5</v>
      </c>
      <c r="W17" s="6">
        <f>Q17-$T$17</f>
        <v>-37.5</v>
      </c>
      <c r="X17" s="6">
        <f>R17-$U$17</f>
        <v>-37.5</v>
      </c>
    </row>
    <row r="18" spans="1:24" x14ac:dyDescent="0.3">
      <c r="A18" s="1">
        <f t="shared" si="7"/>
        <v>5101</v>
      </c>
      <c r="B18" s="1" t="str">
        <f>B2</f>
        <v>(광역) 검 타워</v>
      </c>
      <c r="C18" s="1">
        <v>1</v>
      </c>
      <c r="D18" s="1">
        <f>ROUND(D14*4.2,2)</f>
        <v>127.64</v>
      </c>
      <c r="E18" s="1">
        <f>ROUND(E14*1.25,2)</f>
        <v>2.89</v>
      </c>
      <c r="F18" s="1">
        <f>ROUND(F14*3,2)</f>
        <v>7.95</v>
      </c>
      <c r="G18" s="1" t="b">
        <v>0</v>
      </c>
      <c r="H18" s="1">
        <f>IF(H14*1.8 &lt;= 1, H14*1.8, 1)</f>
        <v>0.19353600000000001</v>
      </c>
      <c r="I18" s="1">
        <f>ROUND(I14*2.8,2)</f>
        <v>0.84</v>
      </c>
      <c r="J18" s="1">
        <f>ROUND(J2*5,2)</f>
        <v>2.5</v>
      </c>
      <c r="K18" s="1">
        <v>525</v>
      </c>
      <c r="L18" s="1" t="str">
        <f t="shared" si="8"/>
        <v>Splash</v>
      </c>
      <c r="M18" s="1" t="str">
        <f t="shared" si="5"/>
        <v>Enemy</v>
      </c>
      <c r="N18" s="1" t="s">
        <v>12</v>
      </c>
      <c r="O18" s="1" t="s">
        <v>12</v>
      </c>
      <c r="Q18" s="2">
        <f t="shared" si="1"/>
        <v>60884.28</v>
      </c>
      <c r="R18" s="2">
        <f t="shared" si="2"/>
        <v>82565.55</v>
      </c>
      <c r="T18" s="2">
        <f t="shared" si="3"/>
        <v>45381.34</v>
      </c>
      <c r="U18" s="2">
        <f t="shared" si="4"/>
        <v>69583.23</v>
      </c>
      <c r="W18" s="3">
        <f>Q18-$T$18</f>
        <v>15502.940000000002</v>
      </c>
      <c r="X18" s="3">
        <f>R18-$U$18</f>
        <v>12982.320000000007</v>
      </c>
    </row>
    <row r="19" spans="1:24" x14ac:dyDescent="0.3">
      <c r="A19" s="1">
        <f t="shared" si="7"/>
        <v>5201</v>
      </c>
      <c r="B19" s="1" t="str">
        <f>B3</f>
        <v>(단일) 검 타워</v>
      </c>
      <c r="C19" s="1">
        <v>1</v>
      </c>
      <c r="D19" s="1">
        <f>ROUND(D15*5,2)</f>
        <v>95.4</v>
      </c>
      <c r="E19" s="1">
        <f t="shared" ref="E19:E20" si="9">ROUND(E15*1.25,2)</f>
        <v>2.89</v>
      </c>
      <c r="F19" s="1">
        <f>ROUND(F15*4,2)</f>
        <v>21.88</v>
      </c>
      <c r="G19" s="1" t="b">
        <v>0</v>
      </c>
      <c r="H19" s="1">
        <f>IF(H15*1.8 &lt;= 1, H15*1.8, 1)</f>
        <v>0.36288000000000004</v>
      </c>
      <c r="I19" s="1">
        <f>ROUND(I15*2.8,2)</f>
        <v>0.45</v>
      </c>
      <c r="J19" s="1">
        <f t="shared" si="6"/>
        <v>0</v>
      </c>
      <c r="K19" s="1">
        <v>0</v>
      </c>
      <c r="L19" s="1" t="str">
        <f t="shared" si="8"/>
        <v>Target</v>
      </c>
      <c r="M19" s="1" t="str">
        <f t="shared" si="5"/>
        <v>Enemy</v>
      </c>
      <c r="N19" s="1" t="s">
        <v>12</v>
      </c>
      <c r="O19" s="1" t="s">
        <v>12</v>
      </c>
      <c r="Q19" s="2">
        <f t="shared" si="1"/>
        <v>125241.12</v>
      </c>
      <c r="R19" s="2">
        <f t="shared" si="2"/>
        <v>191139.99</v>
      </c>
      <c r="T19" s="2">
        <f t="shared" si="3"/>
        <v>101106.9</v>
      </c>
      <c r="U19" s="2">
        <f t="shared" si="4"/>
        <v>189869.9</v>
      </c>
      <c r="W19" s="4">
        <f>Q19-$T$19</f>
        <v>24134.22</v>
      </c>
      <c r="X19" s="4">
        <f>R19-$U$19</f>
        <v>1270.0899999999965</v>
      </c>
    </row>
    <row r="20" spans="1:24" x14ac:dyDescent="0.3">
      <c r="A20" s="1">
        <f t="shared" si="7"/>
        <v>5301</v>
      </c>
      <c r="B20" s="1" t="str">
        <f>B4</f>
        <v>(함정) 검 타워</v>
      </c>
      <c r="C20" s="1">
        <v>1</v>
      </c>
      <c r="D20" s="1">
        <f>ROUND(D16*5,2)</f>
        <v>1125</v>
      </c>
      <c r="E20" s="1">
        <f t="shared" si="9"/>
        <v>2.89</v>
      </c>
      <c r="F20" s="1">
        <f>ROUND(F16*3,2)</f>
        <v>0.3</v>
      </c>
      <c r="G20" s="1" t="b">
        <v>0</v>
      </c>
      <c r="H20" s="1">
        <v>0</v>
      </c>
      <c r="I20" s="1">
        <v>0</v>
      </c>
      <c r="J20" s="1">
        <f t="shared" si="6"/>
        <v>30</v>
      </c>
      <c r="K20" s="1">
        <v>0</v>
      </c>
      <c r="L20" s="1" t="str">
        <f t="shared" si="8"/>
        <v>Trap</v>
      </c>
      <c r="M20" s="1" t="str">
        <f t="shared" si="5"/>
        <v>Enemy</v>
      </c>
      <c r="N20" s="1" t="s">
        <v>12</v>
      </c>
      <c r="O20" s="1" t="s">
        <v>12</v>
      </c>
      <c r="Q20" s="2">
        <f t="shared" si="1"/>
        <v>20250</v>
      </c>
      <c r="R20" s="2">
        <f t="shared" si="2"/>
        <v>20250</v>
      </c>
      <c r="T20" s="2">
        <f t="shared" si="3"/>
        <v>23557.5</v>
      </c>
      <c r="U20" s="2">
        <f t="shared" si="4"/>
        <v>23557.5</v>
      </c>
      <c r="W20" s="5">
        <f>Q20-$T$20</f>
        <v>-3307.5</v>
      </c>
      <c r="X20" s="5">
        <f>R20-$U$20</f>
        <v>-3307.5</v>
      </c>
    </row>
    <row r="21" spans="1:24" x14ac:dyDescent="0.3">
      <c r="A21" s="1">
        <f t="shared" si="7"/>
        <v>5401</v>
      </c>
      <c r="B21" s="1" t="str">
        <f>B5</f>
        <v>(버프) 검 타워</v>
      </c>
      <c r="C21" s="1">
        <v>1</v>
      </c>
      <c r="D21" s="1">
        <v>0</v>
      </c>
      <c r="E21" s="1">
        <f>E17+3</f>
        <v>7</v>
      </c>
      <c r="F21" s="1">
        <v>1</v>
      </c>
      <c r="G21" s="1" t="b">
        <v>0</v>
      </c>
      <c r="H21" s="1">
        <v>0</v>
      </c>
      <c r="I21" s="1">
        <v>0</v>
      </c>
      <c r="J21" s="1">
        <f t="shared" si="6"/>
        <v>1</v>
      </c>
      <c r="K21" s="1">
        <f>IF(L21="Buff",5,525)</f>
        <v>5</v>
      </c>
      <c r="L21" s="1" t="str">
        <f t="shared" si="8"/>
        <v>Buff</v>
      </c>
      <c r="M21" s="1" t="str">
        <f t="shared" si="5"/>
        <v>Tower</v>
      </c>
      <c r="N21" s="1" t="str">
        <f>N17</f>
        <v>Damage</v>
      </c>
      <c r="O21" s="1" t="str">
        <f>O17</f>
        <v>None</v>
      </c>
      <c r="Q21" s="2">
        <f t="shared" si="1"/>
        <v>0</v>
      </c>
      <c r="R21" s="2">
        <f t="shared" si="2"/>
        <v>0</v>
      </c>
      <c r="T21" s="2">
        <f t="shared" si="3"/>
        <v>75</v>
      </c>
      <c r="U21" s="2">
        <f t="shared" si="4"/>
        <v>75</v>
      </c>
      <c r="W21" s="6">
        <f>Q21-$T$21</f>
        <v>-75</v>
      </c>
      <c r="X21" s="6">
        <f>R21-$U$21</f>
        <v>-75</v>
      </c>
    </row>
    <row r="22" spans="1:24" x14ac:dyDescent="0.3">
      <c r="W22" s="6"/>
      <c r="X22" s="6"/>
    </row>
    <row r="23" spans="1:24" x14ac:dyDescent="0.3">
      <c r="A23" s="1">
        <v>1102</v>
      </c>
      <c r="B23" s="1" t="s">
        <v>40</v>
      </c>
      <c r="C23" s="1">
        <v>1</v>
      </c>
      <c r="D23" s="1">
        <v>1.55</v>
      </c>
      <c r="E23" s="1">
        <v>2.75</v>
      </c>
      <c r="F23" s="1">
        <v>0.35</v>
      </c>
      <c r="G23" s="1" t="b">
        <v>0</v>
      </c>
      <c r="H23" s="1">
        <v>0.05</v>
      </c>
      <c r="I23" s="1">
        <v>0.09</v>
      </c>
      <c r="J23" s="1">
        <v>0.5</v>
      </c>
      <c r="K23" s="1">
        <v>8.6957000000000004</v>
      </c>
      <c r="L23" s="1" t="s">
        <v>3</v>
      </c>
      <c r="M23" s="1" t="str">
        <f t="shared" ref="M23:M25" si="10">IF(L23="Buff","Tower","Enemy")</f>
        <v>Enemy</v>
      </c>
      <c r="N23" s="1" t="s">
        <v>12</v>
      </c>
      <c r="O23" s="1" t="s">
        <v>12</v>
      </c>
      <c r="Q23" s="2">
        <f>ROUND(60*(D23*F23),2)</f>
        <v>32.549999999999997</v>
      </c>
      <c r="R23" s="2">
        <f>ROUND((Q23*H23*(2+I23))+Q23*(1-H23),2)</f>
        <v>34.32</v>
      </c>
      <c r="T23" s="2">
        <f t="shared" ref="T23:U42" si="11">T2</f>
        <v>25.54</v>
      </c>
      <c r="U23" s="2">
        <f t="shared" si="11"/>
        <v>27.01</v>
      </c>
      <c r="W23" s="3">
        <f>Q23-$T$2</f>
        <v>7.009999999999998</v>
      </c>
      <c r="X23" s="3">
        <f>R23-$U$2</f>
        <v>7.3099999999999987</v>
      </c>
    </row>
    <row r="24" spans="1:24" x14ac:dyDescent="0.3">
      <c r="A24" s="1">
        <f>A23+100</f>
        <v>1202</v>
      </c>
      <c r="B24" s="1" t="s">
        <v>41</v>
      </c>
      <c r="C24" s="1">
        <v>1</v>
      </c>
      <c r="D24" s="1">
        <v>1.28</v>
      </c>
      <c r="E24" s="1">
        <v>2.75</v>
      </c>
      <c r="F24" s="1">
        <v>0.53</v>
      </c>
      <c r="G24" s="1" t="b">
        <v>0</v>
      </c>
      <c r="H24" s="1">
        <v>0.08</v>
      </c>
      <c r="I24" s="1">
        <v>0.05</v>
      </c>
      <c r="J24" s="1">
        <v>0</v>
      </c>
      <c r="K24" s="1">
        <v>0</v>
      </c>
      <c r="L24" s="1" t="s">
        <v>4</v>
      </c>
      <c r="M24" s="1" t="str">
        <f t="shared" si="10"/>
        <v>Enemy</v>
      </c>
      <c r="N24" s="1" t="s">
        <v>12</v>
      </c>
      <c r="O24" s="1" t="s">
        <v>12</v>
      </c>
      <c r="Q24" s="2">
        <f t="shared" ref="Q24:Q42" si="12">ROUND(60*(D24*F24),2)</f>
        <v>40.700000000000003</v>
      </c>
      <c r="R24" s="2">
        <f t="shared" ref="R24:R42" si="13">ROUND((Q24*H24*(2+I24))+Q24*(1-H24),2)</f>
        <v>44.12</v>
      </c>
      <c r="T24" s="2">
        <f t="shared" si="11"/>
        <v>33.96</v>
      </c>
      <c r="U24" s="2">
        <f t="shared" si="11"/>
        <v>36.51</v>
      </c>
      <c r="W24" s="4">
        <f>Q24-$T$3</f>
        <v>6.740000000000002</v>
      </c>
      <c r="X24" s="4">
        <f>R24-$U$3</f>
        <v>7.6099999999999994</v>
      </c>
    </row>
    <row r="25" spans="1:24" x14ac:dyDescent="0.3">
      <c r="A25" s="1">
        <f>A23+200</f>
        <v>1302</v>
      </c>
      <c r="B25" s="1" t="s">
        <v>42</v>
      </c>
      <c r="C25" s="1">
        <v>1</v>
      </c>
      <c r="D25" s="1">
        <v>8</v>
      </c>
      <c r="E25" s="1">
        <v>2.75</v>
      </c>
      <c r="F25" s="1">
        <v>1.4999999999999999E-2</v>
      </c>
      <c r="G25" s="1" t="b">
        <v>0</v>
      </c>
      <c r="H25" s="1">
        <v>0</v>
      </c>
      <c r="I25" s="1">
        <v>0</v>
      </c>
      <c r="J25" s="1">
        <v>30</v>
      </c>
      <c r="K25" s="1">
        <v>0</v>
      </c>
      <c r="L25" s="1" t="s">
        <v>5</v>
      </c>
      <c r="M25" s="1" t="str">
        <f t="shared" si="10"/>
        <v>Enemy</v>
      </c>
      <c r="N25" s="1" t="s">
        <v>12</v>
      </c>
      <c r="O25" s="1" t="s">
        <v>12</v>
      </c>
      <c r="Q25" s="2">
        <f t="shared" si="12"/>
        <v>7.2</v>
      </c>
      <c r="R25" s="2">
        <f t="shared" si="13"/>
        <v>7.2</v>
      </c>
      <c r="T25" s="2">
        <f t="shared" si="11"/>
        <v>9.08</v>
      </c>
      <c r="U25" s="2">
        <f t="shared" si="11"/>
        <v>9.08</v>
      </c>
      <c r="W25" s="5">
        <f>Q25-$T$4</f>
        <v>-1.88</v>
      </c>
      <c r="X25" s="5">
        <f>R25-$U$4</f>
        <v>-1.88</v>
      </c>
    </row>
    <row r="26" spans="1:24" x14ac:dyDescent="0.3">
      <c r="A26" s="1">
        <f>A23+300</f>
        <v>1402</v>
      </c>
      <c r="B26" s="1" t="s">
        <v>43</v>
      </c>
      <c r="C26" s="1">
        <v>1</v>
      </c>
      <c r="D26" s="1">
        <v>0</v>
      </c>
      <c r="E26" s="1">
        <v>1</v>
      </c>
      <c r="F26" s="1">
        <v>1</v>
      </c>
      <c r="G26" s="1" t="b">
        <v>0</v>
      </c>
      <c r="H26" s="1">
        <v>0</v>
      </c>
      <c r="I26" s="1">
        <v>0</v>
      </c>
      <c r="J26" s="1">
        <v>1</v>
      </c>
      <c r="K26" s="1">
        <f>IF(L26="Buff",1.2,8.6957)</f>
        <v>1.2</v>
      </c>
      <c r="L26" s="1" t="s">
        <v>6</v>
      </c>
      <c r="M26" s="1" t="str">
        <f>IF(L26="Buff","Tower","Enemy")</f>
        <v>Tower</v>
      </c>
      <c r="N26" s="1" t="s">
        <v>19</v>
      </c>
      <c r="O26" s="1" t="s">
        <v>12</v>
      </c>
      <c r="Q26" s="2">
        <f t="shared" si="12"/>
        <v>0</v>
      </c>
      <c r="R26" s="2">
        <f t="shared" si="13"/>
        <v>0</v>
      </c>
      <c r="T26" s="2">
        <f t="shared" si="11"/>
        <v>7.5</v>
      </c>
      <c r="U26" s="2">
        <f t="shared" si="11"/>
        <v>7.5</v>
      </c>
      <c r="W26" s="6">
        <f>Q26-$T$5</f>
        <v>-7.5</v>
      </c>
      <c r="X26" s="6">
        <f>R26-$U$5</f>
        <v>-7.5</v>
      </c>
    </row>
    <row r="27" spans="1:24" x14ac:dyDescent="0.3">
      <c r="A27" s="1">
        <f>A23+1000</f>
        <v>2102</v>
      </c>
      <c r="B27" s="1" t="str">
        <f>B23</f>
        <v>(광역) 활 타워</v>
      </c>
      <c r="C27" s="1">
        <v>1</v>
      </c>
      <c r="D27" s="1">
        <f>ROUND(D23*1.8,2)</f>
        <v>2.79</v>
      </c>
      <c r="E27" s="1">
        <f>ROUND(E23,2)</f>
        <v>2.75</v>
      </c>
      <c r="F27" s="1">
        <f>ROUND(F23*2.1,2)</f>
        <v>0.74</v>
      </c>
      <c r="G27" s="1" t="b">
        <v>0</v>
      </c>
      <c r="H27" s="1">
        <f>IF(H23*1.2 &lt;= 1, H23*1.2, 1)</f>
        <v>0.06</v>
      </c>
      <c r="I27" s="1">
        <f>ROUND(I23*1.2,2)</f>
        <v>0.11</v>
      </c>
      <c r="J27" s="1">
        <f>ROUND(J23*1.5,2)</f>
        <v>0.75</v>
      </c>
      <c r="K27" s="1">
        <v>25</v>
      </c>
      <c r="L27" s="1" t="str">
        <f>L23</f>
        <v>Splash</v>
      </c>
      <c r="M27" s="1" t="str">
        <f t="shared" ref="M27:M42" si="14">IF(L27="Buff","Tower","Enemy")</f>
        <v>Enemy</v>
      </c>
      <c r="N27" s="1" t="s">
        <v>12</v>
      </c>
      <c r="O27" s="1" t="s">
        <v>12</v>
      </c>
      <c r="Q27" s="2">
        <f t="shared" si="12"/>
        <v>123.88</v>
      </c>
      <c r="R27" s="2">
        <f t="shared" si="13"/>
        <v>132.13</v>
      </c>
      <c r="T27" s="2">
        <f t="shared" si="11"/>
        <v>96.69</v>
      </c>
      <c r="U27" s="2">
        <f t="shared" si="11"/>
        <v>103.51</v>
      </c>
      <c r="W27" s="3">
        <f>Q27-$T$6</f>
        <v>27.189999999999998</v>
      </c>
      <c r="X27" s="3">
        <f>R27-$U$6</f>
        <v>28.61999999999999</v>
      </c>
    </row>
    <row r="28" spans="1:24" x14ac:dyDescent="0.3">
      <c r="A28" s="1">
        <f>A24+1000</f>
        <v>2202</v>
      </c>
      <c r="B28" s="1" t="str">
        <f>B24</f>
        <v>(단일) 활 타워</v>
      </c>
      <c r="C28" s="1">
        <v>1</v>
      </c>
      <c r="D28" s="1">
        <f>ROUND(D24*1.7,2)</f>
        <v>2.1800000000000002</v>
      </c>
      <c r="E28" s="1">
        <f>ROUND(E24,2)</f>
        <v>2.75</v>
      </c>
      <c r="F28" s="1">
        <f>ROUND(F24*2.2,2)</f>
        <v>1.17</v>
      </c>
      <c r="G28" s="1" t="b">
        <v>0</v>
      </c>
      <c r="H28" s="1">
        <f>IF(H24*1.2 &lt;= 1, H24*1.2, 1)</f>
        <v>9.6000000000000002E-2</v>
      </c>
      <c r="I28" s="1">
        <f>ROUND(I24*1.2,2)</f>
        <v>0.06</v>
      </c>
      <c r="J28" s="1">
        <f t="shared" ref="J28:J42" si="15">J24</f>
        <v>0</v>
      </c>
      <c r="K28" s="1">
        <v>0</v>
      </c>
      <c r="L28" s="1" t="str">
        <f>L24</f>
        <v>Target</v>
      </c>
      <c r="M28" s="1" t="str">
        <f t="shared" si="14"/>
        <v>Enemy</v>
      </c>
      <c r="N28" s="1" t="s">
        <v>12</v>
      </c>
      <c r="O28" s="1" t="s">
        <v>12</v>
      </c>
      <c r="Q28" s="2">
        <f t="shared" si="12"/>
        <v>153.04</v>
      </c>
      <c r="R28" s="2">
        <f t="shared" si="13"/>
        <v>168.61</v>
      </c>
      <c r="T28" s="2">
        <f t="shared" si="11"/>
        <v>127.57</v>
      </c>
      <c r="U28" s="2">
        <f t="shared" si="11"/>
        <v>139.41</v>
      </c>
      <c r="W28" s="4">
        <f>Q28-$T$7</f>
        <v>25.47</v>
      </c>
      <c r="X28" s="4">
        <f>R28-$U$7</f>
        <v>29.200000000000017</v>
      </c>
    </row>
    <row r="29" spans="1:24" x14ac:dyDescent="0.3">
      <c r="A29" s="1">
        <f t="shared" ref="A29:A42" si="16">A25+1000</f>
        <v>2302</v>
      </c>
      <c r="B29" s="1" t="str">
        <f>B25</f>
        <v>(함정) 활 타워</v>
      </c>
      <c r="C29" s="1">
        <v>1</v>
      </c>
      <c r="D29" s="1">
        <f>ROUND(D25*2,2)</f>
        <v>16</v>
      </c>
      <c r="E29" s="1">
        <f>ROUND(E25,2)</f>
        <v>2.75</v>
      </c>
      <c r="F29" s="1">
        <f>ROUND(F25*2.1,2)</f>
        <v>0.03</v>
      </c>
      <c r="G29" s="1" t="b">
        <v>0</v>
      </c>
      <c r="H29" s="1">
        <v>0</v>
      </c>
      <c r="I29" s="1">
        <v>0</v>
      </c>
      <c r="J29" s="1">
        <f t="shared" si="15"/>
        <v>30</v>
      </c>
      <c r="K29" s="1">
        <v>0</v>
      </c>
      <c r="L29" s="1" t="str">
        <f>L25</f>
        <v>Trap</v>
      </c>
      <c r="M29" s="1" t="str">
        <f t="shared" si="14"/>
        <v>Enemy</v>
      </c>
      <c r="N29" s="1" t="s">
        <v>12</v>
      </c>
      <c r="O29" s="1" t="s">
        <v>12</v>
      </c>
      <c r="Q29" s="2">
        <f t="shared" si="12"/>
        <v>28.8</v>
      </c>
      <c r="R29" s="2">
        <f t="shared" si="13"/>
        <v>28.8</v>
      </c>
      <c r="T29" s="2">
        <f t="shared" si="11"/>
        <v>38.28</v>
      </c>
      <c r="U29" s="2">
        <f t="shared" si="11"/>
        <v>38.28</v>
      </c>
      <c r="W29" s="5">
        <f>Q29-$T$8</f>
        <v>-9.48</v>
      </c>
      <c r="X29" s="5">
        <f>R29-$U$8</f>
        <v>-9.48</v>
      </c>
    </row>
    <row r="30" spans="1:24" x14ac:dyDescent="0.3">
      <c r="A30" s="1">
        <f t="shared" si="16"/>
        <v>2402</v>
      </c>
      <c r="B30" s="1" t="str">
        <f>B26</f>
        <v>(버프) 활 타워</v>
      </c>
      <c r="C30" s="1">
        <v>1</v>
      </c>
      <c r="D30" s="1">
        <v>0</v>
      </c>
      <c r="E30" s="1">
        <f>E26+0</f>
        <v>1</v>
      </c>
      <c r="F30" s="1">
        <v>1</v>
      </c>
      <c r="G30" s="1" t="b">
        <v>0</v>
      </c>
      <c r="H30" s="1">
        <v>0</v>
      </c>
      <c r="I30" s="1">
        <v>0</v>
      </c>
      <c r="J30" s="1">
        <f t="shared" si="15"/>
        <v>1</v>
      </c>
      <c r="K30" s="1">
        <f>IF(L30="Buff",1.4,25)</f>
        <v>1.4</v>
      </c>
      <c r="L30" s="1" t="str">
        <f>L26</f>
        <v>Buff</v>
      </c>
      <c r="M30" s="1" t="str">
        <f t="shared" si="14"/>
        <v>Tower</v>
      </c>
      <c r="N30" s="1" t="str">
        <f>N26</f>
        <v>Range</v>
      </c>
      <c r="O30" s="1" t="str">
        <f>O26</f>
        <v>None</v>
      </c>
      <c r="Q30" s="2">
        <f t="shared" si="12"/>
        <v>0</v>
      </c>
      <c r="R30" s="2">
        <f t="shared" si="13"/>
        <v>0</v>
      </c>
      <c r="T30" s="2">
        <f t="shared" si="11"/>
        <v>15</v>
      </c>
      <c r="U30" s="2">
        <f t="shared" si="11"/>
        <v>15</v>
      </c>
      <c r="W30" s="6">
        <f>Q30-$T$9</f>
        <v>-15</v>
      </c>
      <c r="X30" s="6">
        <f>R30-$U$9</f>
        <v>-15</v>
      </c>
    </row>
    <row r="31" spans="1:24" x14ac:dyDescent="0.3">
      <c r="A31" s="1">
        <f t="shared" si="16"/>
        <v>3102</v>
      </c>
      <c r="B31" s="1" t="str">
        <f>B23</f>
        <v>(광역) 활 타워</v>
      </c>
      <c r="C31" s="1">
        <v>1</v>
      </c>
      <c r="D31" s="1">
        <f>ROUND(D27*2.25,2)</f>
        <v>6.28</v>
      </c>
      <c r="E31" s="1">
        <f>ROUND(E27,2)</f>
        <v>2.75</v>
      </c>
      <c r="F31" s="1">
        <f>ROUND(F27*2.2,2)</f>
        <v>1.63</v>
      </c>
      <c r="G31" s="1" t="b">
        <v>0</v>
      </c>
      <c r="H31" s="1">
        <f>IF(H27*1.4 &lt;= 1, H27*1.4, 1)</f>
        <v>8.3999999999999991E-2</v>
      </c>
      <c r="I31" s="1">
        <f>ROUND(I27*1.5,2)</f>
        <v>0.17</v>
      </c>
      <c r="J31" s="1">
        <f>ROUND(J23*2,2)</f>
        <v>1</v>
      </c>
      <c r="K31" s="1">
        <v>60</v>
      </c>
      <c r="L31" s="1" t="str">
        <f t="shared" ref="L31:L42" si="17">L27</f>
        <v>Splash</v>
      </c>
      <c r="M31" s="1" t="str">
        <f t="shared" si="14"/>
        <v>Enemy</v>
      </c>
      <c r="N31" s="1" t="s">
        <v>12</v>
      </c>
      <c r="O31" s="1" t="s">
        <v>12</v>
      </c>
      <c r="Q31" s="2">
        <f t="shared" si="12"/>
        <v>614.17999999999995</v>
      </c>
      <c r="R31" s="2">
        <f t="shared" si="13"/>
        <v>674.54</v>
      </c>
      <c r="T31" s="2">
        <f t="shared" si="11"/>
        <v>479.72</v>
      </c>
      <c r="U31" s="2">
        <f t="shared" si="11"/>
        <v>530</v>
      </c>
      <c r="W31" s="3">
        <f>Q31-$T$10</f>
        <v>134.45999999999992</v>
      </c>
      <c r="X31" s="3">
        <f>R31-$U$10</f>
        <v>144.53999999999996</v>
      </c>
    </row>
    <row r="32" spans="1:24" x14ac:dyDescent="0.3">
      <c r="A32" s="1">
        <f t="shared" si="16"/>
        <v>3202</v>
      </c>
      <c r="B32" s="1" t="str">
        <f>B24</f>
        <v>(단일) 활 타워</v>
      </c>
      <c r="C32" s="1">
        <v>1</v>
      </c>
      <c r="D32" s="1">
        <f>ROUND(D28*2,2)</f>
        <v>4.3600000000000003</v>
      </c>
      <c r="E32" s="1">
        <f>ROUND(E28,2)</f>
        <v>2.75</v>
      </c>
      <c r="F32" s="1">
        <f>ROUND(F28*2.4,2)</f>
        <v>2.81</v>
      </c>
      <c r="G32" s="1" t="b">
        <v>0</v>
      </c>
      <c r="H32" s="1">
        <f>IF(H28*1.4 &lt;= 1, H28*1.4, 1)</f>
        <v>0.13439999999999999</v>
      </c>
      <c r="I32" s="1">
        <f>ROUND(I28*1.5,2)</f>
        <v>0.09</v>
      </c>
      <c r="J32" s="1">
        <f t="shared" si="15"/>
        <v>0</v>
      </c>
      <c r="K32" s="1">
        <v>0</v>
      </c>
      <c r="L32" s="1" t="str">
        <f t="shared" si="17"/>
        <v>Target</v>
      </c>
      <c r="M32" s="1" t="str">
        <f t="shared" si="14"/>
        <v>Enemy</v>
      </c>
      <c r="N32" s="1" t="s">
        <v>12</v>
      </c>
      <c r="O32" s="1" t="s">
        <v>12</v>
      </c>
      <c r="Q32" s="2">
        <f t="shared" si="12"/>
        <v>735.1</v>
      </c>
      <c r="R32" s="2">
        <f t="shared" si="13"/>
        <v>842.79</v>
      </c>
      <c r="T32" s="2">
        <f t="shared" si="11"/>
        <v>612.57000000000005</v>
      </c>
      <c r="U32" s="2">
        <f t="shared" si="11"/>
        <v>699.51</v>
      </c>
      <c r="W32" s="4">
        <f>Q32-$T$11</f>
        <v>122.52999999999997</v>
      </c>
      <c r="X32" s="4">
        <f>R32-$U$11</f>
        <v>143.27999999999997</v>
      </c>
    </row>
    <row r="33" spans="1:24" x14ac:dyDescent="0.3">
      <c r="A33" s="1">
        <f t="shared" si="16"/>
        <v>3302</v>
      </c>
      <c r="B33" s="1" t="str">
        <f>B25</f>
        <v>(함정) 활 타워</v>
      </c>
      <c r="C33" s="1">
        <v>1</v>
      </c>
      <c r="D33" s="1">
        <f>ROUND(D29*2.5,2)</f>
        <v>40</v>
      </c>
      <c r="E33" s="1">
        <f>ROUND(E29,2)</f>
        <v>2.75</v>
      </c>
      <c r="F33" s="1">
        <f>ROUND(F29*2.2,2)</f>
        <v>7.0000000000000007E-2</v>
      </c>
      <c r="G33" s="1" t="b">
        <v>0</v>
      </c>
      <c r="H33" s="1">
        <v>0</v>
      </c>
      <c r="I33" s="1">
        <v>0</v>
      </c>
      <c r="J33" s="1">
        <f t="shared" si="15"/>
        <v>30</v>
      </c>
      <c r="K33" s="1">
        <v>0</v>
      </c>
      <c r="L33" s="1" t="str">
        <f t="shared" si="17"/>
        <v>Trap</v>
      </c>
      <c r="M33" s="1" t="str">
        <f t="shared" si="14"/>
        <v>Enemy</v>
      </c>
      <c r="N33" s="1" t="s">
        <v>12</v>
      </c>
      <c r="O33" s="1" t="s">
        <v>12</v>
      </c>
      <c r="Q33" s="2">
        <f t="shared" si="12"/>
        <v>168</v>
      </c>
      <c r="R33" s="2">
        <f t="shared" si="13"/>
        <v>168</v>
      </c>
      <c r="T33" s="2">
        <f t="shared" si="11"/>
        <v>208.8</v>
      </c>
      <c r="U33" s="2">
        <f t="shared" si="11"/>
        <v>208.8</v>
      </c>
      <c r="W33" s="5">
        <f>Q33-$T$12</f>
        <v>-40.800000000000011</v>
      </c>
      <c r="X33" s="5">
        <f>R33-$U$12</f>
        <v>-40.800000000000011</v>
      </c>
    </row>
    <row r="34" spans="1:24" x14ac:dyDescent="0.3">
      <c r="A34" s="1">
        <f t="shared" si="16"/>
        <v>3402</v>
      </c>
      <c r="B34" s="1" t="str">
        <f>B26</f>
        <v>(버프) 활 타워</v>
      </c>
      <c r="C34" s="1">
        <v>1</v>
      </c>
      <c r="D34" s="1">
        <v>0</v>
      </c>
      <c r="E34" s="1">
        <f>E30+1</f>
        <v>2</v>
      </c>
      <c r="F34" s="1">
        <v>1</v>
      </c>
      <c r="G34" s="1" t="b">
        <v>0</v>
      </c>
      <c r="H34" s="1">
        <v>0</v>
      </c>
      <c r="I34" s="1">
        <v>0</v>
      </c>
      <c r="J34" s="1">
        <f t="shared" si="15"/>
        <v>1</v>
      </c>
      <c r="K34" s="1">
        <f>IF(L34="Buff",2,60)</f>
        <v>2</v>
      </c>
      <c r="L34" s="1" t="str">
        <f t="shared" si="17"/>
        <v>Buff</v>
      </c>
      <c r="M34" s="1" t="str">
        <f t="shared" si="14"/>
        <v>Tower</v>
      </c>
      <c r="N34" s="1" t="str">
        <f>N30</f>
        <v>Range</v>
      </c>
      <c r="O34" s="1" t="str">
        <f>O30</f>
        <v>None</v>
      </c>
      <c r="Q34" s="2">
        <f t="shared" si="12"/>
        <v>0</v>
      </c>
      <c r="R34" s="2">
        <f t="shared" si="13"/>
        <v>0</v>
      </c>
      <c r="T34" s="2">
        <f t="shared" si="11"/>
        <v>22.5</v>
      </c>
      <c r="U34" s="2">
        <f t="shared" si="11"/>
        <v>22.5</v>
      </c>
      <c r="W34" s="6">
        <f>Q34-$T$13</f>
        <v>-22.5</v>
      </c>
      <c r="X34" s="6">
        <f>R34-$U$13</f>
        <v>-22.5</v>
      </c>
    </row>
    <row r="35" spans="1:24" x14ac:dyDescent="0.3">
      <c r="A35" s="1">
        <f t="shared" si="16"/>
        <v>4102</v>
      </c>
      <c r="B35" s="1" t="str">
        <f>B23</f>
        <v>(광역) 활 타워</v>
      </c>
      <c r="C35" s="1">
        <v>1</v>
      </c>
      <c r="D35" s="1">
        <f>ROUND(D31*3,2)</f>
        <v>18.84</v>
      </c>
      <c r="E35" s="1">
        <f>ROUND(E31*1.1,2)</f>
        <v>3.03</v>
      </c>
      <c r="F35" s="1">
        <f>ROUND(F31*2.5,2)</f>
        <v>4.08</v>
      </c>
      <c r="G35" s="1" t="b">
        <v>0</v>
      </c>
      <c r="H35" s="1">
        <f>IF(H31*1.6 &lt;= 1, H31*1.6, 1)</f>
        <v>0.13439999999999999</v>
      </c>
      <c r="I35" s="1">
        <f>ROUND(I31*2,2)</f>
        <v>0.34</v>
      </c>
      <c r="J35" s="1">
        <f>ROUND(J23*3,2)</f>
        <v>1.5</v>
      </c>
      <c r="K35" s="1">
        <v>150</v>
      </c>
      <c r="L35" s="1" t="str">
        <f t="shared" si="17"/>
        <v>Splash</v>
      </c>
      <c r="M35" s="1" t="str">
        <f t="shared" si="14"/>
        <v>Enemy</v>
      </c>
      <c r="N35" s="1" t="s">
        <v>12</v>
      </c>
      <c r="O35" s="1" t="s">
        <v>12</v>
      </c>
      <c r="Q35" s="2">
        <f t="shared" si="12"/>
        <v>4612.03</v>
      </c>
      <c r="R35" s="2">
        <f t="shared" si="13"/>
        <v>5442.64</v>
      </c>
      <c r="T35" s="2">
        <f t="shared" si="11"/>
        <v>3601.59</v>
      </c>
      <c r="U35" s="2">
        <f t="shared" si="11"/>
        <v>4306.1000000000004</v>
      </c>
      <c r="W35" s="3">
        <f>Q35-$T$14</f>
        <v>1010.4399999999996</v>
      </c>
      <c r="X35" s="3">
        <f>R35-$U$14</f>
        <v>1136.54</v>
      </c>
    </row>
    <row r="36" spans="1:24" x14ac:dyDescent="0.3">
      <c r="A36" s="1">
        <f t="shared" si="16"/>
        <v>4202</v>
      </c>
      <c r="B36" s="1" t="str">
        <f>B24</f>
        <v>(단일) 활 타워</v>
      </c>
      <c r="C36" s="1">
        <v>1</v>
      </c>
      <c r="D36" s="1">
        <f>ROUND(D32*3,2)</f>
        <v>13.08</v>
      </c>
      <c r="E36" s="1">
        <f>ROUND(E32*1.1,2)</f>
        <v>3.03</v>
      </c>
      <c r="F36" s="1">
        <f>ROUND(F32*2.75,2)</f>
        <v>7.73</v>
      </c>
      <c r="G36" s="1" t="b">
        <v>0</v>
      </c>
      <c r="H36" s="1">
        <f>IF(H32*1.6 &lt;= 1, H32*1.6, 1)</f>
        <v>0.21504000000000001</v>
      </c>
      <c r="I36" s="1">
        <f>ROUND(I32*2,2)</f>
        <v>0.18</v>
      </c>
      <c r="J36" s="1">
        <f t="shared" si="15"/>
        <v>0</v>
      </c>
      <c r="K36" s="1">
        <v>0</v>
      </c>
      <c r="L36" s="1" t="str">
        <f t="shared" si="17"/>
        <v>Target</v>
      </c>
      <c r="M36" s="1" t="str">
        <f t="shared" si="14"/>
        <v>Enemy</v>
      </c>
      <c r="N36" s="1" t="s">
        <v>12</v>
      </c>
      <c r="O36" s="1" t="s">
        <v>12</v>
      </c>
      <c r="Q36" s="2">
        <f t="shared" si="12"/>
        <v>6066.5</v>
      </c>
      <c r="R36" s="2">
        <f t="shared" si="13"/>
        <v>7605.86</v>
      </c>
      <c r="T36" s="2">
        <f t="shared" si="11"/>
        <v>5055.3500000000004</v>
      </c>
      <c r="U36" s="2">
        <f t="shared" si="11"/>
        <v>6489.95</v>
      </c>
      <c r="W36" s="4">
        <f>Q36-$T$15</f>
        <v>1011.1499999999996</v>
      </c>
      <c r="X36" s="4">
        <f>R36-$U$15</f>
        <v>1115.9099999999999</v>
      </c>
    </row>
    <row r="37" spans="1:24" x14ac:dyDescent="0.3">
      <c r="A37" s="1">
        <f t="shared" si="16"/>
        <v>4302</v>
      </c>
      <c r="B37" s="1" t="str">
        <f>B25</f>
        <v>(함정) 활 타워</v>
      </c>
      <c r="C37" s="1">
        <v>1</v>
      </c>
      <c r="D37" s="1">
        <f>ROUND(D33*3,2)</f>
        <v>120</v>
      </c>
      <c r="E37" s="1">
        <f>ROUND(E33*1.1,2)</f>
        <v>3.03</v>
      </c>
      <c r="F37" s="1">
        <f>ROUND(F33*2.5,2)</f>
        <v>0.18</v>
      </c>
      <c r="G37" s="1" t="b">
        <v>0</v>
      </c>
      <c r="H37" s="1">
        <v>0</v>
      </c>
      <c r="I37" s="1">
        <v>0</v>
      </c>
      <c r="J37" s="1">
        <f t="shared" si="15"/>
        <v>30</v>
      </c>
      <c r="K37" s="1">
        <v>0</v>
      </c>
      <c r="L37" s="1" t="str">
        <f t="shared" si="17"/>
        <v>Trap</v>
      </c>
      <c r="M37" s="1" t="str">
        <f t="shared" si="14"/>
        <v>Enemy</v>
      </c>
      <c r="N37" s="1" t="s">
        <v>12</v>
      </c>
      <c r="O37" s="1" t="s">
        <v>12</v>
      </c>
      <c r="Q37" s="2">
        <f t="shared" si="12"/>
        <v>1296</v>
      </c>
      <c r="R37" s="2">
        <f t="shared" si="13"/>
        <v>1296</v>
      </c>
      <c r="T37" s="2">
        <f t="shared" si="11"/>
        <v>1570.5</v>
      </c>
      <c r="U37" s="2">
        <f t="shared" si="11"/>
        <v>1570.5</v>
      </c>
      <c r="W37" s="5">
        <f>Q37-$T$16</f>
        <v>-274.5</v>
      </c>
      <c r="X37" s="5">
        <f>R37-$U$16</f>
        <v>-274.5</v>
      </c>
    </row>
    <row r="38" spans="1:24" x14ac:dyDescent="0.3">
      <c r="A38" s="1">
        <f t="shared" si="16"/>
        <v>4402</v>
      </c>
      <c r="B38" s="1" t="str">
        <f>B26</f>
        <v>(버프) 활 타워</v>
      </c>
      <c r="C38" s="1">
        <v>1</v>
      </c>
      <c r="D38" s="1">
        <v>0</v>
      </c>
      <c r="E38" s="1">
        <f>E34+2</f>
        <v>4</v>
      </c>
      <c r="F38" s="1">
        <v>1</v>
      </c>
      <c r="G38" s="1" t="b">
        <v>0</v>
      </c>
      <c r="H38" s="1">
        <v>0</v>
      </c>
      <c r="I38" s="1">
        <v>0</v>
      </c>
      <c r="J38" s="1">
        <f t="shared" si="15"/>
        <v>1</v>
      </c>
      <c r="K38" s="1">
        <f>IF(L38="Buff",3,150)</f>
        <v>3</v>
      </c>
      <c r="L38" s="1" t="str">
        <f t="shared" si="17"/>
        <v>Buff</v>
      </c>
      <c r="M38" s="1" t="str">
        <f t="shared" si="14"/>
        <v>Tower</v>
      </c>
      <c r="N38" s="1" t="str">
        <f>N34</f>
        <v>Range</v>
      </c>
      <c r="O38" s="1" t="str">
        <f>O34</f>
        <v>None</v>
      </c>
      <c r="Q38" s="2">
        <f t="shared" si="12"/>
        <v>0</v>
      </c>
      <c r="R38" s="2">
        <f t="shared" si="13"/>
        <v>0</v>
      </c>
      <c r="T38" s="2">
        <f t="shared" si="11"/>
        <v>37.5</v>
      </c>
      <c r="U38" s="2">
        <f t="shared" si="11"/>
        <v>37.5</v>
      </c>
      <c r="W38" s="6">
        <f>Q38-$T$17</f>
        <v>-37.5</v>
      </c>
      <c r="X38" s="6">
        <f>R38-$U$17</f>
        <v>-37.5</v>
      </c>
    </row>
    <row r="39" spans="1:24" x14ac:dyDescent="0.3">
      <c r="A39" s="1">
        <f t="shared" si="16"/>
        <v>5102</v>
      </c>
      <c r="B39" s="1" t="str">
        <f>B23</f>
        <v>(광역) 활 타워</v>
      </c>
      <c r="C39" s="1">
        <v>1</v>
      </c>
      <c r="D39" s="1">
        <f>ROUND(D35*4.2,2)</f>
        <v>79.13</v>
      </c>
      <c r="E39" s="1">
        <f>ROUND(E35*1.25,2)</f>
        <v>3.79</v>
      </c>
      <c r="F39" s="1">
        <f>ROUND(F35*3,2)</f>
        <v>12.24</v>
      </c>
      <c r="G39" s="1" t="b">
        <v>0</v>
      </c>
      <c r="H39" s="1">
        <f>IF(H35*1.8 &lt;= 1, H35*1.8, 1)</f>
        <v>0.24192</v>
      </c>
      <c r="I39" s="1">
        <f>ROUND(I35*2.8,2)</f>
        <v>0.95</v>
      </c>
      <c r="J39" s="1">
        <f>ROUND(J23*5,2)</f>
        <v>2.5</v>
      </c>
      <c r="K39" s="1">
        <v>525</v>
      </c>
      <c r="L39" s="1" t="str">
        <f t="shared" si="17"/>
        <v>Splash</v>
      </c>
      <c r="M39" s="1" t="str">
        <f t="shared" si="14"/>
        <v>Enemy</v>
      </c>
      <c r="N39" s="1" t="s">
        <v>12</v>
      </c>
      <c r="O39" s="1" t="s">
        <v>12</v>
      </c>
      <c r="Q39" s="2">
        <f t="shared" si="12"/>
        <v>58113.07</v>
      </c>
      <c r="R39" s="2">
        <f t="shared" si="13"/>
        <v>85527.56</v>
      </c>
      <c r="T39" s="2">
        <f t="shared" si="11"/>
        <v>45381.34</v>
      </c>
      <c r="U39" s="2">
        <f t="shared" si="11"/>
        <v>69583.23</v>
      </c>
      <c r="W39" s="3">
        <f>Q39-$T$18</f>
        <v>12731.730000000003</v>
      </c>
      <c r="X39" s="3">
        <f>R39-$U$18</f>
        <v>15944.330000000002</v>
      </c>
    </row>
    <row r="40" spans="1:24" x14ac:dyDescent="0.3">
      <c r="A40" s="1">
        <f t="shared" si="16"/>
        <v>5202</v>
      </c>
      <c r="B40" s="1" t="str">
        <f>B24</f>
        <v>(단일) 활 타워</v>
      </c>
      <c r="C40" s="1">
        <v>1</v>
      </c>
      <c r="D40" s="1">
        <f>ROUND(D36*5,2)</f>
        <v>65.400000000000006</v>
      </c>
      <c r="E40" s="1">
        <f t="shared" ref="E40:E41" si="18">ROUND(E36*1.25,2)</f>
        <v>3.79</v>
      </c>
      <c r="F40" s="1">
        <f>ROUND(F36*4,2)</f>
        <v>30.92</v>
      </c>
      <c r="G40" s="1" t="b">
        <v>0</v>
      </c>
      <c r="H40" s="1">
        <f>IF(H36*1.8 &lt;= 1, H36*1.8, 1)</f>
        <v>0.38707200000000003</v>
      </c>
      <c r="I40" s="1">
        <f>ROUND(I36*2.8,2)</f>
        <v>0.5</v>
      </c>
      <c r="J40" s="1">
        <f t="shared" si="15"/>
        <v>0</v>
      </c>
      <c r="K40" s="1">
        <v>0</v>
      </c>
      <c r="L40" s="1" t="str">
        <f t="shared" si="17"/>
        <v>Target</v>
      </c>
      <c r="M40" s="1" t="str">
        <f t="shared" si="14"/>
        <v>Enemy</v>
      </c>
      <c r="N40" s="1" t="s">
        <v>12</v>
      </c>
      <c r="O40" s="1" t="s">
        <v>12</v>
      </c>
      <c r="Q40" s="2">
        <f t="shared" si="12"/>
        <v>121330.08</v>
      </c>
      <c r="R40" s="2">
        <f t="shared" si="13"/>
        <v>191775.3</v>
      </c>
      <c r="T40" s="2">
        <f t="shared" si="11"/>
        <v>101106.9</v>
      </c>
      <c r="U40" s="2">
        <f t="shared" si="11"/>
        <v>189869.9</v>
      </c>
      <c r="W40" s="4">
        <f>Q40-$T$19</f>
        <v>20223.180000000008</v>
      </c>
      <c r="X40" s="4">
        <f>R40-$U$19</f>
        <v>1905.3999999999942</v>
      </c>
    </row>
    <row r="41" spans="1:24" x14ac:dyDescent="0.3">
      <c r="A41" s="1">
        <f t="shared" si="16"/>
        <v>5302</v>
      </c>
      <c r="B41" s="1" t="str">
        <f>B25</f>
        <v>(함정) 활 타워</v>
      </c>
      <c r="C41" s="1">
        <v>1</v>
      </c>
      <c r="D41" s="1">
        <f>ROUND(D37*5,2)</f>
        <v>600</v>
      </c>
      <c r="E41" s="1">
        <f t="shared" si="18"/>
        <v>3.79</v>
      </c>
      <c r="F41" s="1">
        <f>ROUND(F37*3,2)</f>
        <v>0.54</v>
      </c>
      <c r="G41" s="1" t="b">
        <v>0</v>
      </c>
      <c r="H41" s="1">
        <v>0</v>
      </c>
      <c r="I41" s="1">
        <v>0</v>
      </c>
      <c r="J41" s="1">
        <f t="shared" si="15"/>
        <v>30</v>
      </c>
      <c r="K41" s="1">
        <v>0</v>
      </c>
      <c r="L41" s="1" t="str">
        <f t="shared" si="17"/>
        <v>Trap</v>
      </c>
      <c r="M41" s="1" t="str">
        <f t="shared" si="14"/>
        <v>Enemy</v>
      </c>
      <c r="N41" s="1" t="s">
        <v>12</v>
      </c>
      <c r="O41" s="1" t="s">
        <v>12</v>
      </c>
      <c r="Q41" s="2">
        <f t="shared" si="12"/>
        <v>19440</v>
      </c>
      <c r="R41" s="2">
        <f t="shared" si="13"/>
        <v>19440</v>
      </c>
      <c r="T41" s="2">
        <f t="shared" si="11"/>
        <v>23557.5</v>
      </c>
      <c r="U41" s="2">
        <f t="shared" si="11"/>
        <v>23557.5</v>
      </c>
      <c r="W41" s="5">
        <f>Q41-$T$20</f>
        <v>-4117.5</v>
      </c>
      <c r="X41" s="5">
        <f>R41-$U$20</f>
        <v>-4117.5</v>
      </c>
    </row>
    <row r="42" spans="1:24" x14ac:dyDescent="0.3">
      <c r="A42" s="1">
        <f t="shared" si="16"/>
        <v>5402</v>
      </c>
      <c r="B42" s="1" t="str">
        <f>B26</f>
        <v>(버프) 활 타워</v>
      </c>
      <c r="C42" s="1">
        <v>1</v>
      </c>
      <c r="D42" s="1">
        <v>0</v>
      </c>
      <c r="E42" s="1">
        <f>E38+3</f>
        <v>7</v>
      </c>
      <c r="F42" s="1">
        <v>1</v>
      </c>
      <c r="G42" s="1" t="b">
        <v>0</v>
      </c>
      <c r="H42" s="1">
        <v>0</v>
      </c>
      <c r="I42" s="1">
        <v>0</v>
      </c>
      <c r="J42" s="1">
        <f t="shared" si="15"/>
        <v>1</v>
      </c>
      <c r="K42" s="1">
        <f>IF(L42="Buff",5,525)</f>
        <v>5</v>
      </c>
      <c r="L42" s="1" t="str">
        <f t="shared" si="17"/>
        <v>Buff</v>
      </c>
      <c r="M42" s="1" t="str">
        <f t="shared" si="14"/>
        <v>Tower</v>
      </c>
      <c r="N42" s="1" t="str">
        <f>N38</f>
        <v>Range</v>
      </c>
      <c r="O42" s="1" t="str">
        <f>O38</f>
        <v>None</v>
      </c>
      <c r="Q42" s="2">
        <f t="shared" si="12"/>
        <v>0</v>
      </c>
      <c r="R42" s="2">
        <f t="shared" si="13"/>
        <v>0</v>
      </c>
      <c r="T42" s="2">
        <f t="shared" si="11"/>
        <v>75</v>
      </c>
      <c r="U42" s="2">
        <f t="shared" si="11"/>
        <v>75</v>
      </c>
      <c r="W42" s="6">
        <f>Q42-$T$21</f>
        <v>-75</v>
      </c>
      <c r="X42" s="6">
        <f>R42-$U$21</f>
        <v>-75</v>
      </c>
    </row>
    <row r="43" spans="1:24" x14ac:dyDescent="0.3">
      <c r="W43" s="6"/>
      <c r="X43" s="6"/>
    </row>
    <row r="44" spans="1:24" x14ac:dyDescent="0.3">
      <c r="A44" s="1">
        <v>1103</v>
      </c>
      <c r="B44" s="1" t="s">
        <v>44</v>
      </c>
      <c r="C44" s="1">
        <v>1</v>
      </c>
      <c r="D44" s="1">
        <v>1.1000000000000001</v>
      </c>
      <c r="E44" s="1">
        <v>2</v>
      </c>
      <c r="F44" s="1">
        <v>0.15</v>
      </c>
      <c r="G44" s="1" t="b">
        <v>0</v>
      </c>
      <c r="H44" s="1">
        <v>0.05</v>
      </c>
      <c r="I44" s="1">
        <v>0.1</v>
      </c>
      <c r="J44" s="1">
        <v>0.1</v>
      </c>
      <c r="K44" s="1">
        <v>8.6957000000000004</v>
      </c>
      <c r="L44" s="1" t="s">
        <v>3</v>
      </c>
      <c r="M44" s="1" t="str">
        <f t="shared" ref="M44:M46" si="19">IF(L44="Buff","Tower","Enemy")</f>
        <v>Enemy</v>
      </c>
      <c r="N44" s="1" t="s">
        <v>12</v>
      </c>
      <c r="O44" s="1" t="s">
        <v>26</v>
      </c>
      <c r="Q44" s="2">
        <f>ROUND(60*(D44*F44),2)</f>
        <v>9.9</v>
      </c>
      <c r="R44" s="2">
        <f>ROUND((Q44*H44*(2+I44))+Q44*(1-H44),2)</f>
        <v>10.44</v>
      </c>
      <c r="T44" s="2">
        <f t="shared" ref="T44:U63" si="20">T2</f>
        <v>25.54</v>
      </c>
      <c r="U44" s="2">
        <f t="shared" si="20"/>
        <v>27.01</v>
      </c>
      <c r="W44" s="3">
        <f>Q44-$T$2</f>
        <v>-15.639999999999999</v>
      </c>
      <c r="X44" s="3">
        <f>R44-$U$2</f>
        <v>-16.57</v>
      </c>
    </row>
    <row r="45" spans="1:24" x14ac:dyDescent="0.3">
      <c r="A45" s="1">
        <f>A44+100</f>
        <v>1203</v>
      </c>
      <c r="B45" s="1" t="s">
        <v>47</v>
      </c>
      <c r="C45" s="1">
        <v>1</v>
      </c>
      <c r="D45" s="1">
        <v>2.4</v>
      </c>
      <c r="E45" s="1">
        <v>2</v>
      </c>
      <c r="F45" s="1">
        <v>0.28000000000000003</v>
      </c>
      <c r="G45" s="1" t="b">
        <v>0</v>
      </c>
      <c r="H45" s="1">
        <v>7.0000000000000007E-2</v>
      </c>
      <c r="I45" s="1">
        <v>0.09</v>
      </c>
      <c r="J45" s="1">
        <v>0</v>
      </c>
      <c r="K45" s="1">
        <v>0</v>
      </c>
      <c r="L45" s="1" t="s">
        <v>4</v>
      </c>
      <c r="M45" s="1" t="str">
        <f t="shared" si="19"/>
        <v>Enemy</v>
      </c>
      <c r="N45" s="1" t="s">
        <v>12</v>
      </c>
      <c r="O45" s="1" t="s">
        <v>12</v>
      </c>
      <c r="Q45" s="2">
        <f t="shared" ref="Q45:Q63" si="21">ROUND(60*(D45*F45),2)</f>
        <v>40.32</v>
      </c>
      <c r="R45" s="2">
        <f t="shared" ref="R45:R63" si="22">ROUND((Q45*H45*(2+I45))+Q45*(1-H45),2)</f>
        <v>43.4</v>
      </c>
      <c r="T45" s="2">
        <f t="shared" si="20"/>
        <v>33.96</v>
      </c>
      <c r="U45" s="2">
        <f t="shared" si="20"/>
        <v>36.51</v>
      </c>
      <c r="W45" s="4">
        <f>Q45-$T$3</f>
        <v>6.3599999999999994</v>
      </c>
      <c r="X45" s="4">
        <f>R45-$U$3</f>
        <v>6.8900000000000006</v>
      </c>
    </row>
    <row r="46" spans="1:24" x14ac:dyDescent="0.3">
      <c r="A46" s="1">
        <f>A44+200</f>
        <v>1303</v>
      </c>
      <c r="B46" s="1" t="s">
        <v>45</v>
      </c>
      <c r="C46" s="1">
        <v>1</v>
      </c>
      <c r="D46" s="1">
        <v>0</v>
      </c>
      <c r="E46" s="1">
        <v>2</v>
      </c>
      <c r="F46" s="1">
        <v>5.0000000000000001E-3</v>
      </c>
      <c r="G46" s="1" t="b">
        <v>0</v>
      </c>
      <c r="H46" s="1">
        <v>0</v>
      </c>
      <c r="I46" s="1">
        <v>0</v>
      </c>
      <c r="J46" s="1">
        <v>5</v>
      </c>
      <c r="K46" s="1">
        <v>0</v>
      </c>
      <c r="L46" s="1" t="s">
        <v>5</v>
      </c>
      <c r="M46" s="1" t="str">
        <f t="shared" si="19"/>
        <v>Enemy</v>
      </c>
      <c r="N46" s="1" t="s">
        <v>12</v>
      </c>
      <c r="O46" s="1" t="s">
        <v>12</v>
      </c>
      <c r="Q46" s="2">
        <f t="shared" si="21"/>
        <v>0</v>
      </c>
      <c r="R46" s="2">
        <f t="shared" si="22"/>
        <v>0</v>
      </c>
      <c r="T46" s="2">
        <f t="shared" si="20"/>
        <v>9.08</v>
      </c>
      <c r="U46" s="2">
        <f t="shared" si="20"/>
        <v>9.08</v>
      </c>
      <c r="W46" s="5">
        <f>Q46-$T$4</f>
        <v>-9.08</v>
      </c>
      <c r="X46" s="5">
        <f>R46-$U$4</f>
        <v>-9.08</v>
      </c>
    </row>
    <row r="47" spans="1:24" x14ac:dyDescent="0.3">
      <c r="A47" s="1">
        <f>A44+300</f>
        <v>1403</v>
      </c>
      <c r="B47" s="1" t="s">
        <v>46</v>
      </c>
      <c r="C47" s="1">
        <v>1</v>
      </c>
      <c r="D47" s="1">
        <v>0</v>
      </c>
      <c r="E47" s="1">
        <v>3</v>
      </c>
      <c r="F47" s="1">
        <v>1</v>
      </c>
      <c r="G47" s="1" t="b">
        <v>0</v>
      </c>
      <c r="H47" s="1">
        <v>0</v>
      </c>
      <c r="I47" s="1">
        <v>0</v>
      </c>
      <c r="J47" s="1">
        <v>1</v>
      </c>
      <c r="K47" s="1">
        <f>IF(L47="Buff",1.2,8.6957)</f>
        <v>8.6957000000000004</v>
      </c>
      <c r="L47" s="1" t="s">
        <v>15</v>
      </c>
      <c r="M47" s="1" t="str">
        <f>IF(L47="Buff","Tower","Enemy")</f>
        <v>Enemy</v>
      </c>
      <c r="N47" s="1" t="s">
        <v>12</v>
      </c>
      <c r="O47" s="1" t="s">
        <v>16</v>
      </c>
      <c r="Q47" s="2">
        <f t="shared" si="21"/>
        <v>0</v>
      </c>
      <c r="R47" s="2">
        <f t="shared" si="22"/>
        <v>0</v>
      </c>
      <c r="T47" s="2">
        <f t="shared" si="20"/>
        <v>7.5</v>
      </c>
      <c r="U47" s="2">
        <f t="shared" si="20"/>
        <v>7.5</v>
      </c>
      <c r="W47" s="6">
        <f>Q47-$T$5</f>
        <v>-7.5</v>
      </c>
      <c r="X47" s="6">
        <f>R47-$U$5</f>
        <v>-7.5</v>
      </c>
    </row>
    <row r="48" spans="1:24" x14ac:dyDescent="0.3">
      <c r="A48" s="1">
        <f>A44+1000</f>
        <v>2103</v>
      </c>
      <c r="B48" s="1" t="str">
        <f>B44</f>
        <v>(광역) 방패 타워</v>
      </c>
      <c r="C48" s="1">
        <v>1</v>
      </c>
      <c r="D48" s="1">
        <f>ROUND(D44*1.8,2)</f>
        <v>1.98</v>
      </c>
      <c r="E48" s="1">
        <f>ROUND(E44,2)</f>
        <v>2</v>
      </c>
      <c r="F48" s="1">
        <f>ROUND(F44*2.1,2)</f>
        <v>0.32</v>
      </c>
      <c r="G48" s="1" t="b">
        <v>0</v>
      </c>
      <c r="H48" s="1">
        <f>IF(H44*1.2 &lt;= 1, H44*1.2, 1)</f>
        <v>0.06</v>
      </c>
      <c r="I48" s="1">
        <f>ROUND(I44*1.2,2)</f>
        <v>0.12</v>
      </c>
      <c r="J48" s="1">
        <f>ROUND(J44*1.5,2)</f>
        <v>0.15</v>
      </c>
      <c r="K48" s="1">
        <v>25</v>
      </c>
      <c r="L48" s="1" t="str">
        <f>L44</f>
        <v>Splash</v>
      </c>
      <c r="M48" s="1" t="str">
        <f t="shared" ref="M48:M63" si="23">IF(L48="Buff","Tower","Enemy")</f>
        <v>Enemy</v>
      </c>
      <c r="N48" s="1" t="s">
        <v>12</v>
      </c>
      <c r="O48" s="1" t="str">
        <f>O44</f>
        <v>Stun</v>
      </c>
      <c r="Q48" s="2">
        <f t="shared" si="21"/>
        <v>38.020000000000003</v>
      </c>
      <c r="R48" s="2">
        <f t="shared" si="22"/>
        <v>40.57</v>
      </c>
      <c r="T48" s="2">
        <f t="shared" si="20"/>
        <v>96.69</v>
      </c>
      <c r="U48" s="2">
        <f t="shared" si="20"/>
        <v>103.51</v>
      </c>
      <c r="W48" s="3">
        <f>Q48-$T$6</f>
        <v>-58.669999999999995</v>
      </c>
      <c r="X48" s="3">
        <f>R48-$U$6</f>
        <v>-62.940000000000005</v>
      </c>
    </row>
    <row r="49" spans="1:24" x14ac:dyDescent="0.3">
      <c r="A49" s="1">
        <f>A45+1000</f>
        <v>2203</v>
      </c>
      <c r="B49" s="1" t="str">
        <f>B45</f>
        <v>(단일) 방패 타워</v>
      </c>
      <c r="C49" s="1">
        <v>1</v>
      </c>
      <c r="D49" s="1">
        <f>ROUND(D45*1.7,2)</f>
        <v>4.08</v>
      </c>
      <c r="E49" s="1">
        <f>ROUND(E45,2)</f>
        <v>2</v>
      </c>
      <c r="F49" s="1">
        <f>ROUND(F45*2.2,2)</f>
        <v>0.62</v>
      </c>
      <c r="G49" s="1" t="b">
        <v>0</v>
      </c>
      <c r="H49" s="1">
        <f>IF(H45*1.2 &lt;= 1, H45*1.2, 1)</f>
        <v>8.4000000000000005E-2</v>
      </c>
      <c r="I49" s="1">
        <f>ROUND(I45*1.2,2)</f>
        <v>0.11</v>
      </c>
      <c r="J49" s="1">
        <f t="shared" ref="J49:J63" si="24">J45</f>
        <v>0</v>
      </c>
      <c r="K49" s="1">
        <v>0</v>
      </c>
      <c r="L49" s="1" t="str">
        <f>L45</f>
        <v>Target</v>
      </c>
      <c r="M49" s="1" t="str">
        <f t="shared" si="23"/>
        <v>Enemy</v>
      </c>
      <c r="N49" s="1" t="s">
        <v>12</v>
      </c>
      <c r="O49" s="1" t="s">
        <v>12</v>
      </c>
      <c r="Q49" s="2">
        <f t="shared" si="21"/>
        <v>151.78</v>
      </c>
      <c r="R49" s="2">
        <f t="shared" si="22"/>
        <v>165.93</v>
      </c>
      <c r="T49" s="2">
        <f t="shared" si="20"/>
        <v>127.57</v>
      </c>
      <c r="U49" s="2">
        <f t="shared" si="20"/>
        <v>139.41</v>
      </c>
      <c r="W49" s="4">
        <f>Q49-$T$7</f>
        <v>24.210000000000008</v>
      </c>
      <c r="X49" s="4">
        <f>R49-$U$7</f>
        <v>26.52000000000001</v>
      </c>
    </row>
    <row r="50" spans="1:24" x14ac:dyDescent="0.3">
      <c r="A50" s="1">
        <f t="shared" ref="A50:A63" si="25">A46+1000</f>
        <v>2303</v>
      </c>
      <c r="B50" s="1" t="str">
        <f>B46</f>
        <v>(함정) 방패 타워</v>
      </c>
      <c r="C50" s="1">
        <v>1</v>
      </c>
      <c r="D50" s="1">
        <f>ROUND(D46*2,2)</f>
        <v>0</v>
      </c>
      <c r="E50" s="1">
        <f>ROUND(E46,2)</f>
        <v>2</v>
      </c>
      <c r="F50" s="1">
        <f>ROUND(F46*2.1,2)</f>
        <v>0.01</v>
      </c>
      <c r="G50" s="1" t="b">
        <v>0</v>
      </c>
      <c r="H50" s="1">
        <v>0</v>
      </c>
      <c r="I50" s="1">
        <v>0</v>
      </c>
      <c r="J50" s="1">
        <f t="shared" si="24"/>
        <v>5</v>
      </c>
      <c r="K50" s="1">
        <v>0</v>
      </c>
      <c r="L50" s="1" t="str">
        <f>L46</f>
        <v>Trap</v>
      </c>
      <c r="M50" s="1" t="str">
        <f t="shared" si="23"/>
        <v>Enemy</v>
      </c>
      <c r="N50" s="1" t="s">
        <v>12</v>
      </c>
      <c r="O50" s="1" t="s">
        <v>12</v>
      </c>
      <c r="Q50" s="2">
        <f t="shared" si="21"/>
        <v>0</v>
      </c>
      <c r="R50" s="2">
        <f t="shared" si="22"/>
        <v>0</v>
      </c>
      <c r="T50" s="2">
        <f t="shared" si="20"/>
        <v>38.28</v>
      </c>
      <c r="U50" s="2">
        <f t="shared" si="20"/>
        <v>38.28</v>
      </c>
      <c r="W50" s="5">
        <f>Q50-$T$8</f>
        <v>-38.28</v>
      </c>
      <c r="X50" s="5">
        <f>R50-$U$8</f>
        <v>-38.28</v>
      </c>
    </row>
    <row r="51" spans="1:24" x14ac:dyDescent="0.3">
      <c r="A51" s="1">
        <f t="shared" si="25"/>
        <v>2403</v>
      </c>
      <c r="B51" s="1" t="str">
        <f>B47</f>
        <v>(버프) 방패 타워</v>
      </c>
      <c r="C51" s="1">
        <v>1</v>
      </c>
      <c r="D51" s="1">
        <v>0</v>
      </c>
      <c r="E51" s="1">
        <f>E47+0</f>
        <v>3</v>
      </c>
      <c r="F51" s="1">
        <v>1</v>
      </c>
      <c r="G51" s="1" t="b">
        <v>0</v>
      </c>
      <c r="H51" s="1">
        <v>0</v>
      </c>
      <c r="I51" s="1">
        <v>0</v>
      </c>
      <c r="J51" s="1">
        <f t="shared" si="24"/>
        <v>1</v>
      </c>
      <c r="K51" s="1">
        <f>IF(L51="Buff",1.4,25)</f>
        <v>25</v>
      </c>
      <c r="L51" s="1" t="str">
        <f>L47</f>
        <v>Debuff</v>
      </c>
      <c r="M51" s="1" t="str">
        <f t="shared" si="23"/>
        <v>Enemy</v>
      </c>
      <c r="N51" s="1" t="str">
        <f>N47</f>
        <v>None</v>
      </c>
      <c r="O51" s="1" t="str">
        <f>O47</f>
        <v>Defense</v>
      </c>
      <c r="Q51" s="2">
        <f t="shared" si="21"/>
        <v>0</v>
      </c>
      <c r="R51" s="2">
        <f t="shared" si="22"/>
        <v>0</v>
      </c>
      <c r="T51" s="2">
        <f t="shared" si="20"/>
        <v>15</v>
      </c>
      <c r="U51" s="2">
        <f t="shared" si="20"/>
        <v>15</v>
      </c>
      <c r="W51" s="6">
        <f>Q51-$T$9</f>
        <v>-15</v>
      </c>
      <c r="X51" s="6">
        <f>R51-$U$9</f>
        <v>-15</v>
      </c>
    </row>
    <row r="52" spans="1:24" x14ac:dyDescent="0.3">
      <c r="A52" s="1">
        <f t="shared" si="25"/>
        <v>3103</v>
      </c>
      <c r="B52" s="1" t="str">
        <f>B44</f>
        <v>(광역) 방패 타워</v>
      </c>
      <c r="C52" s="1">
        <v>1</v>
      </c>
      <c r="D52" s="1">
        <f>ROUND(D48*2.25,2)</f>
        <v>4.46</v>
      </c>
      <c r="E52" s="1">
        <f>ROUND(E48,2)</f>
        <v>2</v>
      </c>
      <c r="F52" s="1">
        <f>ROUND(F48*2.2,2)</f>
        <v>0.7</v>
      </c>
      <c r="G52" s="1" t="b">
        <v>0</v>
      </c>
      <c r="H52" s="1">
        <f>IF(H48*1.4 &lt;= 1, H48*1.4, 1)</f>
        <v>8.3999999999999991E-2</v>
      </c>
      <c r="I52" s="1">
        <f>ROUND(I48*1.5,2)</f>
        <v>0.18</v>
      </c>
      <c r="J52" s="1">
        <f>ROUND(J44*2,2)</f>
        <v>0.2</v>
      </c>
      <c r="K52" s="1">
        <v>60</v>
      </c>
      <c r="L52" s="1" t="str">
        <f t="shared" ref="L52:L63" si="26">L48</f>
        <v>Splash</v>
      </c>
      <c r="M52" s="1" t="str">
        <f t="shared" si="23"/>
        <v>Enemy</v>
      </c>
      <c r="N52" s="1" t="s">
        <v>12</v>
      </c>
      <c r="O52" s="1" t="str">
        <f>O44</f>
        <v>Stun</v>
      </c>
      <c r="Q52" s="2">
        <f t="shared" si="21"/>
        <v>187.32</v>
      </c>
      <c r="R52" s="2">
        <f t="shared" si="22"/>
        <v>205.89</v>
      </c>
      <c r="T52" s="2">
        <f t="shared" si="20"/>
        <v>479.72</v>
      </c>
      <c r="U52" s="2">
        <f t="shared" si="20"/>
        <v>530</v>
      </c>
      <c r="W52" s="3">
        <f>Q52-$T$10</f>
        <v>-292.40000000000003</v>
      </c>
      <c r="X52" s="3">
        <f>R52-$U$10</f>
        <v>-324.11</v>
      </c>
    </row>
    <row r="53" spans="1:24" x14ac:dyDescent="0.3">
      <c r="A53" s="1">
        <f t="shared" si="25"/>
        <v>3203</v>
      </c>
      <c r="B53" s="1" t="str">
        <f>B45</f>
        <v>(단일) 방패 타워</v>
      </c>
      <c r="C53" s="1">
        <v>1</v>
      </c>
      <c r="D53" s="1">
        <f>ROUND(D49*2,2)</f>
        <v>8.16</v>
      </c>
      <c r="E53" s="1">
        <f>ROUND(E49,2)</f>
        <v>2</v>
      </c>
      <c r="F53" s="1">
        <f>ROUND(F49*2.4,2)</f>
        <v>1.49</v>
      </c>
      <c r="G53" s="1" t="b">
        <v>0</v>
      </c>
      <c r="H53" s="1">
        <f>IF(H49*1.4 &lt;= 1, H49*1.4, 1)</f>
        <v>0.1176</v>
      </c>
      <c r="I53" s="1">
        <f>ROUND(I49*1.5,2)</f>
        <v>0.17</v>
      </c>
      <c r="J53" s="1">
        <f t="shared" si="24"/>
        <v>0</v>
      </c>
      <c r="K53" s="1">
        <v>0</v>
      </c>
      <c r="L53" s="1" t="str">
        <f t="shared" si="26"/>
        <v>Target</v>
      </c>
      <c r="M53" s="1" t="str">
        <f t="shared" si="23"/>
        <v>Enemy</v>
      </c>
      <c r="N53" s="1" t="s">
        <v>12</v>
      </c>
      <c r="O53" s="1" t="s">
        <v>12</v>
      </c>
      <c r="Q53" s="2">
        <f t="shared" si="21"/>
        <v>729.5</v>
      </c>
      <c r="R53" s="2">
        <f t="shared" si="22"/>
        <v>829.87</v>
      </c>
      <c r="T53" s="2">
        <f t="shared" si="20"/>
        <v>612.57000000000005</v>
      </c>
      <c r="U53" s="2">
        <f t="shared" si="20"/>
        <v>699.51</v>
      </c>
      <c r="W53" s="4">
        <f>Q53-$T$11</f>
        <v>116.92999999999995</v>
      </c>
      <c r="X53" s="4">
        <f>R53-$U$11</f>
        <v>130.36000000000001</v>
      </c>
    </row>
    <row r="54" spans="1:24" x14ac:dyDescent="0.3">
      <c r="A54" s="1">
        <f t="shared" si="25"/>
        <v>3303</v>
      </c>
      <c r="B54" s="1" t="str">
        <f>B46</f>
        <v>(함정) 방패 타워</v>
      </c>
      <c r="C54" s="1">
        <v>1</v>
      </c>
      <c r="D54" s="1">
        <f>ROUND(D50*2.5,2)</f>
        <v>0</v>
      </c>
      <c r="E54" s="1">
        <f>ROUND(E50,2)</f>
        <v>2</v>
      </c>
      <c r="F54" s="1">
        <f>ROUND(F50*2.2,2)</f>
        <v>0.02</v>
      </c>
      <c r="G54" s="1" t="b">
        <v>0</v>
      </c>
      <c r="H54" s="1">
        <v>0</v>
      </c>
      <c r="I54" s="1">
        <v>0</v>
      </c>
      <c r="J54" s="1">
        <f t="shared" si="24"/>
        <v>5</v>
      </c>
      <c r="K54" s="1">
        <v>0</v>
      </c>
      <c r="L54" s="1" t="str">
        <f t="shared" si="26"/>
        <v>Trap</v>
      </c>
      <c r="M54" s="1" t="str">
        <f t="shared" si="23"/>
        <v>Enemy</v>
      </c>
      <c r="N54" s="1" t="s">
        <v>12</v>
      </c>
      <c r="O54" s="1" t="s">
        <v>12</v>
      </c>
      <c r="Q54" s="2">
        <f t="shared" si="21"/>
        <v>0</v>
      </c>
      <c r="R54" s="2">
        <f t="shared" si="22"/>
        <v>0</v>
      </c>
      <c r="T54" s="2">
        <f t="shared" si="20"/>
        <v>208.8</v>
      </c>
      <c r="U54" s="2">
        <f t="shared" si="20"/>
        <v>208.8</v>
      </c>
      <c r="W54" s="5">
        <f>Q54-$T$12</f>
        <v>-208.8</v>
      </c>
      <c r="X54" s="5">
        <f>R54-$U$12</f>
        <v>-208.8</v>
      </c>
    </row>
    <row r="55" spans="1:24" x14ac:dyDescent="0.3">
      <c r="A55" s="1">
        <f t="shared" si="25"/>
        <v>3403</v>
      </c>
      <c r="B55" s="1" t="str">
        <f>B47</f>
        <v>(버프) 방패 타워</v>
      </c>
      <c r="C55" s="1">
        <v>1</v>
      </c>
      <c r="D55" s="1">
        <v>0</v>
      </c>
      <c r="E55" s="1">
        <f>E51+1</f>
        <v>4</v>
      </c>
      <c r="F55" s="1">
        <v>1</v>
      </c>
      <c r="G55" s="1" t="b">
        <v>0</v>
      </c>
      <c r="H55" s="1">
        <v>0</v>
      </c>
      <c r="I55" s="1">
        <v>0</v>
      </c>
      <c r="J55" s="1">
        <f t="shared" si="24"/>
        <v>1</v>
      </c>
      <c r="K55" s="1">
        <f>IF(L55="Buff",2,60)</f>
        <v>60</v>
      </c>
      <c r="L55" s="1" t="str">
        <f t="shared" si="26"/>
        <v>Debuff</v>
      </c>
      <c r="M55" s="1" t="str">
        <f t="shared" si="23"/>
        <v>Enemy</v>
      </c>
      <c r="N55" s="1" t="str">
        <f>N51</f>
        <v>None</v>
      </c>
      <c r="O55" s="1" t="str">
        <f>O51</f>
        <v>Defense</v>
      </c>
      <c r="Q55" s="2">
        <f t="shared" si="21"/>
        <v>0</v>
      </c>
      <c r="R55" s="2">
        <f t="shared" si="22"/>
        <v>0</v>
      </c>
      <c r="T55" s="2">
        <f t="shared" si="20"/>
        <v>22.5</v>
      </c>
      <c r="U55" s="2">
        <f t="shared" si="20"/>
        <v>22.5</v>
      </c>
      <c r="W55" s="6">
        <f>Q55-$T$13</f>
        <v>-22.5</v>
      </c>
      <c r="X55" s="6">
        <f>R55-$U$13</f>
        <v>-22.5</v>
      </c>
    </row>
    <row r="56" spans="1:24" x14ac:dyDescent="0.3">
      <c r="A56" s="1">
        <f t="shared" si="25"/>
        <v>4103</v>
      </c>
      <c r="B56" s="1" t="str">
        <f>B44</f>
        <v>(광역) 방패 타워</v>
      </c>
      <c r="C56" s="1">
        <v>1</v>
      </c>
      <c r="D56" s="1">
        <f>ROUND(D52*3,2)</f>
        <v>13.38</v>
      </c>
      <c r="E56" s="1">
        <f>ROUND(E52*1.1,2)</f>
        <v>2.2000000000000002</v>
      </c>
      <c r="F56" s="1">
        <f>ROUND(F52*2.5,2)</f>
        <v>1.75</v>
      </c>
      <c r="G56" s="1" t="b">
        <v>0</v>
      </c>
      <c r="H56" s="1">
        <f>IF(H52*1.6 &lt;= 1, H52*1.6, 1)</f>
        <v>0.13439999999999999</v>
      </c>
      <c r="I56" s="1">
        <f>ROUND(I52*2,2)</f>
        <v>0.36</v>
      </c>
      <c r="J56" s="1">
        <f>ROUND(J44*3,2)</f>
        <v>0.3</v>
      </c>
      <c r="K56" s="1">
        <v>150</v>
      </c>
      <c r="L56" s="1" t="str">
        <f t="shared" si="26"/>
        <v>Splash</v>
      </c>
      <c r="M56" s="1" t="str">
        <f t="shared" si="23"/>
        <v>Enemy</v>
      </c>
      <c r="N56" s="1" t="s">
        <v>12</v>
      </c>
      <c r="O56" s="1" t="str">
        <f>O44</f>
        <v>Stun</v>
      </c>
      <c r="Q56" s="2">
        <f t="shared" si="21"/>
        <v>1404.9</v>
      </c>
      <c r="R56" s="2">
        <f t="shared" si="22"/>
        <v>1661.69</v>
      </c>
      <c r="T56" s="2">
        <f t="shared" si="20"/>
        <v>3601.59</v>
      </c>
      <c r="U56" s="2">
        <f t="shared" si="20"/>
        <v>4306.1000000000004</v>
      </c>
      <c r="W56" s="3">
        <f>Q56-$T$14</f>
        <v>-2196.69</v>
      </c>
      <c r="X56" s="3">
        <f>R56-$U$14</f>
        <v>-2644.4100000000003</v>
      </c>
    </row>
    <row r="57" spans="1:24" x14ac:dyDescent="0.3">
      <c r="A57" s="1">
        <f t="shared" si="25"/>
        <v>4203</v>
      </c>
      <c r="B57" s="1" t="str">
        <f>B45</f>
        <v>(단일) 방패 타워</v>
      </c>
      <c r="C57" s="1">
        <v>1</v>
      </c>
      <c r="D57" s="1">
        <f>ROUND(D53*3,2)</f>
        <v>24.48</v>
      </c>
      <c r="E57" s="1">
        <f>ROUND(E53*1.1,2)</f>
        <v>2.2000000000000002</v>
      </c>
      <c r="F57" s="1">
        <f>ROUND(F53*2.75,2)</f>
        <v>4.0999999999999996</v>
      </c>
      <c r="G57" s="1" t="b">
        <v>0</v>
      </c>
      <c r="H57" s="1">
        <f>IF(H53*1.6 &lt;= 1, H53*1.6, 1)</f>
        <v>0.18815999999999999</v>
      </c>
      <c r="I57" s="1">
        <f>ROUND(I53*2,2)</f>
        <v>0.34</v>
      </c>
      <c r="J57" s="1">
        <f t="shared" si="24"/>
        <v>0</v>
      </c>
      <c r="K57" s="1">
        <v>0</v>
      </c>
      <c r="L57" s="1" t="str">
        <f t="shared" si="26"/>
        <v>Target</v>
      </c>
      <c r="M57" s="1" t="str">
        <f t="shared" si="23"/>
        <v>Enemy</v>
      </c>
      <c r="N57" s="1" t="s">
        <v>12</v>
      </c>
      <c r="O57" s="1" t="s">
        <v>12</v>
      </c>
      <c r="Q57" s="2">
        <f t="shared" si="21"/>
        <v>6022.08</v>
      </c>
      <c r="R57" s="2">
        <f t="shared" si="22"/>
        <v>7540.45</v>
      </c>
      <c r="T57" s="2">
        <f t="shared" si="20"/>
        <v>5055.3500000000004</v>
      </c>
      <c r="U57" s="2">
        <f t="shared" si="20"/>
        <v>6489.95</v>
      </c>
      <c r="W57" s="4">
        <f>Q57-$T$15</f>
        <v>966.72999999999956</v>
      </c>
      <c r="X57" s="4">
        <f>R57-$U$15</f>
        <v>1050.5</v>
      </c>
    </row>
    <row r="58" spans="1:24" x14ac:dyDescent="0.3">
      <c r="A58" s="1">
        <f t="shared" si="25"/>
        <v>4303</v>
      </c>
      <c r="B58" s="1" t="str">
        <f>B46</f>
        <v>(함정) 방패 타워</v>
      </c>
      <c r="C58" s="1">
        <v>1</v>
      </c>
      <c r="D58" s="1">
        <f>ROUND(D54*3,2)</f>
        <v>0</v>
      </c>
      <c r="E58" s="1">
        <f>ROUND(E54*1.1,2)</f>
        <v>2.2000000000000002</v>
      </c>
      <c r="F58" s="1">
        <f>ROUND(F54*2.5,2)</f>
        <v>0.05</v>
      </c>
      <c r="G58" s="1" t="b">
        <v>0</v>
      </c>
      <c r="H58" s="1">
        <v>0</v>
      </c>
      <c r="I58" s="1">
        <v>0</v>
      </c>
      <c r="J58" s="1">
        <f t="shared" si="24"/>
        <v>5</v>
      </c>
      <c r="K58" s="1">
        <v>0</v>
      </c>
      <c r="L58" s="1" t="str">
        <f t="shared" si="26"/>
        <v>Trap</v>
      </c>
      <c r="M58" s="1" t="str">
        <f t="shared" si="23"/>
        <v>Enemy</v>
      </c>
      <c r="N58" s="1" t="s">
        <v>12</v>
      </c>
      <c r="O58" s="1" t="s">
        <v>12</v>
      </c>
      <c r="Q58" s="2">
        <f t="shared" si="21"/>
        <v>0</v>
      </c>
      <c r="R58" s="2">
        <f t="shared" si="22"/>
        <v>0</v>
      </c>
      <c r="T58" s="2">
        <f t="shared" si="20"/>
        <v>1570.5</v>
      </c>
      <c r="U58" s="2">
        <f t="shared" si="20"/>
        <v>1570.5</v>
      </c>
      <c r="W58" s="5">
        <f>Q58-$T$16</f>
        <v>-1570.5</v>
      </c>
      <c r="X58" s="5">
        <f>R58-$U$16</f>
        <v>-1570.5</v>
      </c>
    </row>
    <row r="59" spans="1:24" x14ac:dyDescent="0.3">
      <c r="A59" s="1">
        <f t="shared" si="25"/>
        <v>4403</v>
      </c>
      <c r="B59" s="1" t="str">
        <f>B47</f>
        <v>(버프) 방패 타워</v>
      </c>
      <c r="C59" s="1">
        <v>1</v>
      </c>
      <c r="D59" s="1">
        <v>0</v>
      </c>
      <c r="E59" s="1">
        <f>E55+2</f>
        <v>6</v>
      </c>
      <c r="F59" s="1">
        <v>1</v>
      </c>
      <c r="G59" s="1" t="b">
        <v>0</v>
      </c>
      <c r="H59" s="1">
        <v>0</v>
      </c>
      <c r="I59" s="1">
        <v>0</v>
      </c>
      <c r="J59" s="1">
        <f t="shared" si="24"/>
        <v>1</v>
      </c>
      <c r="K59" s="1">
        <f>IF(L59="Buff",3,150)</f>
        <v>150</v>
      </c>
      <c r="L59" s="1" t="str">
        <f t="shared" si="26"/>
        <v>Debuff</v>
      </c>
      <c r="M59" s="1" t="str">
        <f t="shared" si="23"/>
        <v>Enemy</v>
      </c>
      <c r="N59" s="1" t="str">
        <f>N55</f>
        <v>None</v>
      </c>
      <c r="O59" s="1" t="str">
        <f>O55</f>
        <v>Defense</v>
      </c>
      <c r="Q59" s="2">
        <f t="shared" si="21"/>
        <v>0</v>
      </c>
      <c r="R59" s="2">
        <f t="shared" si="22"/>
        <v>0</v>
      </c>
      <c r="T59" s="2">
        <f t="shared" si="20"/>
        <v>37.5</v>
      </c>
      <c r="U59" s="2">
        <f t="shared" si="20"/>
        <v>37.5</v>
      </c>
      <c r="W59" s="6">
        <f>Q59-$T$17</f>
        <v>-37.5</v>
      </c>
      <c r="X59" s="6">
        <f>R59-$U$17</f>
        <v>-37.5</v>
      </c>
    </row>
    <row r="60" spans="1:24" x14ac:dyDescent="0.3">
      <c r="A60" s="1">
        <f t="shared" si="25"/>
        <v>5103</v>
      </c>
      <c r="B60" s="1" t="str">
        <f>B44</f>
        <v>(광역) 방패 타워</v>
      </c>
      <c r="C60" s="1">
        <v>1</v>
      </c>
      <c r="D60" s="1">
        <f>ROUND(D56*4.2,2)</f>
        <v>56.2</v>
      </c>
      <c r="E60" s="1">
        <f>ROUND(E56*1.25,2)</f>
        <v>2.75</v>
      </c>
      <c r="F60" s="1">
        <f>ROUND(F56*3,2)</f>
        <v>5.25</v>
      </c>
      <c r="G60" s="1" t="b">
        <v>0</v>
      </c>
      <c r="H60" s="1">
        <f>IF(H56*1.8 &lt;= 1, H56*1.8, 1)</f>
        <v>0.24192</v>
      </c>
      <c r="I60" s="1">
        <f>ROUND(I56*2.8,2)</f>
        <v>1.01</v>
      </c>
      <c r="J60" s="1">
        <f>ROUND(J44*5,2)</f>
        <v>0.5</v>
      </c>
      <c r="K60" s="1">
        <v>525</v>
      </c>
      <c r="L60" s="1" t="str">
        <f t="shared" si="26"/>
        <v>Splash</v>
      </c>
      <c r="M60" s="1" t="str">
        <f t="shared" si="23"/>
        <v>Enemy</v>
      </c>
      <c r="N60" s="1" t="s">
        <v>12</v>
      </c>
      <c r="O60" s="1" t="str">
        <f>O44</f>
        <v>Stun</v>
      </c>
      <c r="Q60" s="2">
        <f t="shared" si="21"/>
        <v>17703</v>
      </c>
      <c r="R60" s="2">
        <f t="shared" si="22"/>
        <v>26311.25</v>
      </c>
      <c r="T60" s="2">
        <f t="shared" si="20"/>
        <v>45381.34</v>
      </c>
      <c r="U60" s="2">
        <f t="shared" si="20"/>
        <v>69583.23</v>
      </c>
      <c r="W60" s="3">
        <f>Q60-$T$18</f>
        <v>-27678.339999999997</v>
      </c>
      <c r="X60" s="3">
        <f>R60-$U$18</f>
        <v>-43271.979999999996</v>
      </c>
    </row>
    <row r="61" spans="1:24" x14ac:dyDescent="0.3">
      <c r="A61" s="1">
        <f t="shared" si="25"/>
        <v>5203</v>
      </c>
      <c r="B61" s="1" t="str">
        <f>B45</f>
        <v>(단일) 방패 타워</v>
      </c>
      <c r="C61" s="1">
        <v>1</v>
      </c>
      <c r="D61" s="1">
        <f>ROUND(D57*5,2)</f>
        <v>122.4</v>
      </c>
      <c r="E61" s="1">
        <f t="shared" ref="E61:E62" si="27">ROUND(E57*1.25,2)</f>
        <v>2.75</v>
      </c>
      <c r="F61" s="1">
        <f>ROUND(F57*4,2)</f>
        <v>16.399999999999999</v>
      </c>
      <c r="G61" s="1" t="b">
        <v>0</v>
      </c>
      <c r="H61" s="1">
        <f>IF(H57*1.8 &lt;= 1, H57*1.8, 1)</f>
        <v>0.33868799999999999</v>
      </c>
      <c r="I61" s="1">
        <f>ROUND(I57*2.8,2)</f>
        <v>0.95</v>
      </c>
      <c r="J61" s="1">
        <f t="shared" si="24"/>
        <v>0</v>
      </c>
      <c r="K61" s="1">
        <v>0</v>
      </c>
      <c r="L61" s="1" t="str">
        <f t="shared" si="26"/>
        <v>Target</v>
      </c>
      <c r="M61" s="1" t="str">
        <f t="shared" si="23"/>
        <v>Enemy</v>
      </c>
      <c r="N61" s="1" t="s">
        <v>12</v>
      </c>
      <c r="O61" s="1" t="s">
        <v>12</v>
      </c>
      <c r="Q61" s="2">
        <f t="shared" si="21"/>
        <v>120441.60000000001</v>
      </c>
      <c r="R61" s="2">
        <f t="shared" si="22"/>
        <v>199986.24</v>
      </c>
      <c r="T61" s="2">
        <f t="shared" si="20"/>
        <v>101106.9</v>
      </c>
      <c r="U61" s="2">
        <f t="shared" si="20"/>
        <v>189869.9</v>
      </c>
      <c r="W61" s="4">
        <f>Q61-$T$19</f>
        <v>19334.700000000012</v>
      </c>
      <c r="X61" s="4">
        <f>R61-$U$19</f>
        <v>10116.339999999997</v>
      </c>
    </row>
    <row r="62" spans="1:24" x14ac:dyDescent="0.3">
      <c r="A62" s="1">
        <f t="shared" si="25"/>
        <v>5303</v>
      </c>
      <c r="B62" s="1" t="str">
        <f>B46</f>
        <v>(함정) 방패 타워</v>
      </c>
      <c r="C62" s="1">
        <v>1</v>
      </c>
      <c r="D62" s="1">
        <f>ROUND(D58*5,2)</f>
        <v>0</v>
      </c>
      <c r="E62" s="1">
        <f t="shared" si="27"/>
        <v>2.75</v>
      </c>
      <c r="F62" s="1">
        <f>ROUND(F58*3,2)</f>
        <v>0.15</v>
      </c>
      <c r="G62" s="1" t="b">
        <v>0</v>
      </c>
      <c r="H62" s="1">
        <v>0</v>
      </c>
      <c r="I62" s="1">
        <v>0</v>
      </c>
      <c r="J62" s="1">
        <f t="shared" si="24"/>
        <v>5</v>
      </c>
      <c r="K62" s="1">
        <v>0</v>
      </c>
      <c r="L62" s="1" t="str">
        <f t="shared" si="26"/>
        <v>Trap</v>
      </c>
      <c r="M62" s="1" t="str">
        <f t="shared" si="23"/>
        <v>Enemy</v>
      </c>
      <c r="N62" s="1" t="s">
        <v>12</v>
      </c>
      <c r="O62" s="1" t="s">
        <v>12</v>
      </c>
      <c r="Q62" s="2">
        <f t="shared" si="21"/>
        <v>0</v>
      </c>
      <c r="R62" s="2">
        <f t="shared" si="22"/>
        <v>0</v>
      </c>
      <c r="T62" s="2">
        <f t="shared" si="20"/>
        <v>23557.5</v>
      </c>
      <c r="U62" s="2">
        <f t="shared" si="20"/>
        <v>23557.5</v>
      </c>
      <c r="W62" s="5">
        <f>Q62-$T$20</f>
        <v>-23557.5</v>
      </c>
      <c r="X62" s="5">
        <f>R62-$U$20</f>
        <v>-23557.5</v>
      </c>
    </row>
    <row r="63" spans="1:24" x14ac:dyDescent="0.3">
      <c r="A63" s="1">
        <f t="shared" si="25"/>
        <v>5403</v>
      </c>
      <c r="B63" s="1" t="str">
        <f>B47</f>
        <v>(버프) 방패 타워</v>
      </c>
      <c r="C63" s="1">
        <v>1</v>
      </c>
      <c r="D63" s="1">
        <v>0</v>
      </c>
      <c r="E63" s="1">
        <f>E59+3</f>
        <v>9</v>
      </c>
      <c r="F63" s="1">
        <v>1</v>
      </c>
      <c r="G63" s="1" t="b">
        <v>0</v>
      </c>
      <c r="H63" s="1">
        <v>0</v>
      </c>
      <c r="I63" s="1">
        <v>0</v>
      </c>
      <c r="J63" s="1">
        <f t="shared" si="24"/>
        <v>1</v>
      </c>
      <c r="K63" s="1">
        <f>IF(L63="Buff",5,525)</f>
        <v>525</v>
      </c>
      <c r="L63" s="1" t="str">
        <f t="shared" si="26"/>
        <v>Debuff</v>
      </c>
      <c r="M63" s="1" t="str">
        <f t="shared" si="23"/>
        <v>Enemy</v>
      </c>
      <c r="N63" s="1" t="str">
        <f>N59</f>
        <v>None</v>
      </c>
      <c r="O63" s="1" t="str">
        <f>O59</f>
        <v>Defense</v>
      </c>
      <c r="Q63" s="2">
        <f t="shared" si="21"/>
        <v>0</v>
      </c>
      <c r="R63" s="2">
        <f t="shared" si="22"/>
        <v>0</v>
      </c>
      <c r="T63" s="2">
        <f t="shared" si="20"/>
        <v>75</v>
      </c>
      <c r="U63" s="2">
        <f t="shared" si="20"/>
        <v>75</v>
      </c>
      <c r="W63" s="6">
        <f>Q63-$T$21</f>
        <v>-75</v>
      </c>
      <c r="X63" s="6">
        <f>R63-$U$21</f>
        <v>-75</v>
      </c>
    </row>
    <row r="64" spans="1:24" x14ac:dyDescent="0.3">
      <c r="W64" s="6"/>
      <c r="X64" s="6"/>
    </row>
    <row r="65" spans="1:24" x14ac:dyDescent="0.3">
      <c r="A65" s="1">
        <v>1104</v>
      </c>
      <c r="B65" s="1" t="s">
        <v>48</v>
      </c>
      <c r="C65" s="1">
        <v>1</v>
      </c>
      <c r="D65" s="1">
        <v>1.76</v>
      </c>
      <c r="E65" s="1">
        <v>2.25</v>
      </c>
      <c r="F65" s="1">
        <v>0.3</v>
      </c>
      <c r="G65" s="1" t="b">
        <v>0</v>
      </c>
      <c r="H65" s="1">
        <v>0.105</v>
      </c>
      <c r="I65" s="1">
        <v>3.5000000000000003E-2</v>
      </c>
      <c r="J65" s="1">
        <v>0.5</v>
      </c>
      <c r="K65" s="1">
        <v>8.6957000000000004</v>
      </c>
      <c r="L65" s="1" t="s">
        <v>3</v>
      </c>
      <c r="M65" s="1" t="str">
        <f t="shared" ref="M65:M67" si="28">IF(L65="Buff","Tower","Enemy")</f>
        <v>Enemy</v>
      </c>
      <c r="N65" s="1" t="s">
        <v>12</v>
      </c>
      <c r="O65" s="1" t="s">
        <v>12</v>
      </c>
      <c r="Q65" s="2">
        <f>ROUND(60*(D65*F65),2)</f>
        <v>31.68</v>
      </c>
      <c r="R65" s="2">
        <f>ROUND((Q65*H65*(2+I65))+Q65*(1-H65),2)</f>
        <v>35.119999999999997</v>
      </c>
      <c r="T65" s="2">
        <f t="shared" ref="T65:U84" si="29">T2</f>
        <v>25.54</v>
      </c>
      <c r="U65" s="2">
        <f t="shared" si="29"/>
        <v>27.01</v>
      </c>
      <c r="W65" s="3">
        <f>Q65-$T$2</f>
        <v>6.1400000000000006</v>
      </c>
      <c r="X65" s="3">
        <f>R65-$U$2</f>
        <v>8.1099999999999959</v>
      </c>
    </row>
    <row r="66" spans="1:24" x14ac:dyDescent="0.3">
      <c r="A66" s="1">
        <f>A65+100</f>
        <v>1204</v>
      </c>
      <c r="B66" s="1" t="s">
        <v>49</v>
      </c>
      <c r="C66" s="1">
        <v>1</v>
      </c>
      <c r="D66" s="1">
        <v>1.35</v>
      </c>
      <c r="E66" s="1">
        <v>2.25</v>
      </c>
      <c r="F66" s="1">
        <v>0.5</v>
      </c>
      <c r="G66" s="1" t="b">
        <v>0</v>
      </c>
      <c r="H66" s="1">
        <v>0.12</v>
      </c>
      <c r="I66" s="1">
        <v>2.5000000000000001E-2</v>
      </c>
      <c r="J66" s="1">
        <v>0</v>
      </c>
      <c r="K66" s="1">
        <v>0</v>
      </c>
      <c r="L66" s="1" t="s">
        <v>4</v>
      </c>
      <c r="M66" s="1" t="str">
        <f t="shared" si="28"/>
        <v>Enemy</v>
      </c>
      <c r="N66" s="1" t="s">
        <v>12</v>
      </c>
      <c r="O66" s="1" t="s">
        <v>12</v>
      </c>
      <c r="Q66" s="2">
        <f t="shared" ref="Q66:Q84" si="30">ROUND(60*(D66*F66),2)</f>
        <v>40.5</v>
      </c>
      <c r="R66" s="2">
        <f t="shared" ref="R66:R84" si="31">ROUND((Q66*H66*(2+I66))+Q66*(1-H66),2)</f>
        <v>45.48</v>
      </c>
      <c r="T66" s="2">
        <f t="shared" si="29"/>
        <v>33.96</v>
      </c>
      <c r="U66" s="2">
        <f t="shared" si="29"/>
        <v>36.51</v>
      </c>
      <c r="W66" s="4">
        <f>Q66-$T$3</f>
        <v>6.5399999999999991</v>
      </c>
      <c r="X66" s="4">
        <f>R66-$U$3</f>
        <v>8.9699999999999989</v>
      </c>
    </row>
    <row r="67" spans="1:24" x14ac:dyDescent="0.3">
      <c r="A67" s="1">
        <f>A65+200</f>
        <v>1304</v>
      </c>
      <c r="B67" s="1" t="s">
        <v>50</v>
      </c>
      <c r="C67" s="1">
        <v>1</v>
      </c>
      <c r="D67" s="1">
        <v>4</v>
      </c>
      <c r="E67" s="1">
        <v>2.25</v>
      </c>
      <c r="F67" s="1">
        <v>4.4999999999999998E-2</v>
      </c>
      <c r="G67" s="1" t="b">
        <v>0</v>
      </c>
      <c r="H67" s="1">
        <v>0</v>
      </c>
      <c r="I67" s="1">
        <v>0</v>
      </c>
      <c r="J67" s="1">
        <v>30</v>
      </c>
      <c r="K67" s="1">
        <v>0</v>
      </c>
      <c r="L67" s="1" t="s">
        <v>5</v>
      </c>
      <c r="M67" s="1" t="str">
        <f t="shared" si="28"/>
        <v>Enemy</v>
      </c>
      <c r="N67" s="1" t="s">
        <v>12</v>
      </c>
      <c r="O67" s="1" t="s">
        <v>12</v>
      </c>
      <c r="Q67" s="2">
        <f t="shared" si="30"/>
        <v>10.8</v>
      </c>
      <c r="R67" s="2">
        <f t="shared" si="31"/>
        <v>10.8</v>
      </c>
      <c r="T67" s="2">
        <f t="shared" si="29"/>
        <v>9.08</v>
      </c>
      <c r="U67" s="2">
        <f t="shared" si="29"/>
        <v>9.08</v>
      </c>
      <c r="W67" s="5">
        <f>Q67-$T$4</f>
        <v>1.7200000000000006</v>
      </c>
      <c r="X67" s="5">
        <f>R67-$U$4</f>
        <v>1.7200000000000006</v>
      </c>
    </row>
    <row r="68" spans="1:24" x14ac:dyDescent="0.3">
      <c r="A68" s="1">
        <f>A65+300</f>
        <v>1404</v>
      </c>
      <c r="B68" s="1" t="s">
        <v>51</v>
      </c>
      <c r="C68" s="1">
        <v>1</v>
      </c>
      <c r="D68" s="1">
        <v>0</v>
      </c>
      <c r="E68" s="1">
        <v>1</v>
      </c>
      <c r="F68" s="1">
        <v>1</v>
      </c>
      <c r="G68" s="1" t="b">
        <v>0</v>
      </c>
      <c r="H68" s="1">
        <v>0</v>
      </c>
      <c r="I68" s="1">
        <v>0</v>
      </c>
      <c r="J68" s="1">
        <v>1</v>
      </c>
      <c r="K68" s="1">
        <f>IF(L68="Buff",1.2,8.6957)</f>
        <v>1.2</v>
      </c>
      <c r="L68" s="1" t="s">
        <v>6</v>
      </c>
      <c r="M68" s="1" t="str">
        <f>IF(L68="Buff","Tower","Enemy")</f>
        <v>Tower</v>
      </c>
      <c r="N68" s="1" t="s">
        <v>17</v>
      </c>
      <c r="O68" s="1" t="s">
        <v>12</v>
      </c>
      <c r="Q68" s="2">
        <f t="shared" si="30"/>
        <v>0</v>
      </c>
      <c r="R68" s="2">
        <f t="shared" si="31"/>
        <v>0</v>
      </c>
      <c r="T68" s="2">
        <f t="shared" si="29"/>
        <v>7.5</v>
      </c>
      <c r="U68" s="2">
        <f t="shared" si="29"/>
        <v>7.5</v>
      </c>
      <c r="W68" s="6">
        <f>Q68-$T$5</f>
        <v>-7.5</v>
      </c>
      <c r="X68" s="6">
        <f>R68-$U$5</f>
        <v>-7.5</v>
      </c>
    </row>
    <row r="69" spans="1:24" x14ac:dyDescent="0.3">
      <c r="A69" s="1">
        <f>A65+1000</f>
        <v>2104</v>
      </c>
      <c r="B69" s="1" t="str">
        <f>B65</f>
        <v>(광역) 창 타워</v>
      </c>
      <c r="C69" s="1">
        <v>1</v>
      </c>
      <c r="D69" s="1">
        <f>ROUND(D65*1.8,2)</f>
        <v>3.17</v>
      </c>
      <c r="E69" s="1">
        <f>ROUND(E65,2)</f>
        <v>2.25</v>
      </c>
      <c r="F69" s="1">
        <f>ROUND(F65*2.1,2)</f>
        <v>0.63</v>
      </c>
      <c r="G69" s="1" t="b">
        <v>0</v>
      </c>
      <c r="H69" s="1">
        <f>IF(H65*1.2 &lt;= 1, H65*1.2, 1)</f>
        <v>0.126</v>
      </c>
      <c r="I69" s="1">
        <f>ROUND(I65*1.2,2)</f>
        <v>0.04</v>
      </c>
      <c r="J69" s="1">
        <f>ROUND(J65*1.5,2)</f>
        <v>0.75</v>
      </c>
      <c r="K69" s="1">
        <v>25</v>
      </c>
      <c r="L69" s="1" t="str">
        <f>L65</f>
        <v>Splash</v>
      </c>
      <c r="M69" s="1" t="str">
        <f t="shared" ref="M69:M84" si="32">IF(L69="Buff","Tower","Enemy")</f>
        <v>Enemy</v>
      </c>
      <c r="N69" s="1" t="s">
        <v>12</v>
      </c>
      <c r="O69" s="1" t="s">
        <v>12</v>
      </c>
      <c r="Q69" s="2">
        <f t="shared" si="30"/>
        <v>119.83</v>
      </c>
      <c r="R69" s="2">
        <f t="shared" si="31"/>
        <v>135.53</v>
      </c>
      <c r="T69" s="2">
        <f t="shared" si="29"/>
        <v>96.69</v>
      </c>
      <c r="U69" s="2">
        <f t="shared" si="29"/>
        <v>103.51</v>
      </c>
      <c r="W69" s="3">
        <f>Q69-$T$6</f>
        <v>23.14</v>
      </c>
      <c r="X69" s="3">
        <f>R69-$U$6</f>
        <v>32.019999999999996</v>
      </c>
    </row>
    <row r="70" spans="1:24" x14ac:dyDescent="0.3">
      <c r="A70" s="1">
        <f>A66+1000</f>
        <v>2204</v>
      </c>
      <c r="B70" s="1" t="str">
        <f>B66</f>
        <v>(단일) 창 타워</v>
      </c>
      <c r="C70" s="1">
        <v>1</v>
      </c>
      <c r="D70" s="1">
        <f>ROUND(D66*1.7,2)</f>
        <v>2.2999999999999998</v>
      </c>
      <c r="E70" s="1">
        <f>ROUND(E66,2)</f>
        <v>2.25</v>
      </c>
      <c r="F70" s="1">
        <f>ROUND(F66*2.2,2)</f>
        <v>1.1000000000000001</v>
      </c>
      <c r="G70" s="1" t="b">
        <v>0</v>
      </c>
      <c r="H70" s="1">
        <f>IF(H66*1.2 &lt;= 1, H66*1.2, 1)</f>
        <v>0.14399999999999999</v>
      </c>
      <c r="I70" s="1">
        <f>ROUND(I66*1.2,2)</f>
        <v>0.03</v>
      </c>
      <c r="J70" s="1">
        <f t="shared" ref="J70:J84" si="33">J66</f>
        <v>0</v>
      </c>
      <c r="K70" s="1">
        <v>0</v>
      </c>
      <c r="L70" s="1" t="str">
        <f>L66</f>
        <v>Target</v>
      </c>
      <c r="M70" s="1" t="str">
        <f t="shared" si="32"/>
        <v>Enemy</v>
      </c>
      <c r="N70" s="1" t="s">
        <v>12</v>
      </c>
      <c r="O70" s="1" t="s">
        <v>12</v>
      </c>
      <c r="Q70" s="2">
        <f t="shared" si="30"/>
        <v>151.80000000000001</v>
      </c>
      <c r="R70" s="2">
        <f t="shared" si="31"/>
        <v>174.31</v>
      </c>
      <c r="T70" s="2">
        <f t="shared" si="29"/>
        <v>127.57</v>
      </c>
      <c r="U70" s="2">
        <f t="shared" si="29"/>
        <v>139.41</v>
      </c>
      <c r="W70" s="4">
        <f>Q70-$T$7</f>
        <v>24.230000000000018</v>
      </c>
      <c r="X70" s="4">
        <f>R70-$U$7</f>
        <v>34.900000000000006</v>
      </c>
    </row>
    <row r="71" spans="1:24" x14ac:dyDescent="0.3">
      <c r="A71" s="1">
        <f t="shared" ref="A71:A84" si="34">A67+1000</f>
        <v>2304</v>
      </c>
      <c r="B71" s="1" t="str">
        <f>B67</f>
        <v>(함정) 창 타워</v>
      </c>
      <c r="C71" s="1">
        <v>1</v>
      </c>
      <c r="D71" s="1">
        <f>ROUND(D67*2,2)</f>
        <v>8</v>
      </c>
      <c r="E71" s="1">
        <f>ROUND(E67,2)</f>
        <v>2.25</v>
      </c>
      <c r="F71" s="1">
        <f>ROUND(F67*2.1,2)</f>
        <v>0.09</v>
      </c>
      <c r="G71" s="1" t="b">
        <v>0</v>
      </c>
      <c r="H71" s="1">
        <v>0</v>
      </c>
      <c r="I71" s="1">
        <v>0</v>
      </c>
      <c r="J71" s="1">
        <f t="shared" si="33"/>
        <v>30</v>
      </c>
      <c r="K71" s="1">
        <v>0</v>
      </c>
      <c r="L71" s="1" t="str">
        <f>L67</f>
        <v>Trap</v>
      </c>
      <c r="M71" s="1" t="str">
        <f t="shared" si="32"/>
        <v>Enemy</v>
      </c>
      <c r="N71" s="1" t="s">
        <v>12</v>
      </c>
      <c r="O71" s="1" t="s">
        <v>12</v>
      </c>
      <c r="Q71" s="2">
        <f t="shared" si="30"/>
        <v>43.2</v>
      </c>
      <c r="R71" s="2">
        <f t="shared" si="31"/>
        <v>43.2</v>
      </c>
      <c r="T71" s="2">
        <f t="shared" si="29"/>
        <v>38.28</v>
      </c>
      <c r="U71" s="2">
        <f t="shared" si="29"/>
        <v>38.28</v>
      </c>
      <c r="W71" s="5">
        <f>Q71-$T$8</f>
        <v>4.9200000000000017</v>
      </c>
      <c r="X71" s="5">
        <f>R71-$U$8</f>
        <v>4.9200000000000017</v>
      </c>
    </row>
    <row r="72" spans="1:24" x14ac:dyDescent="0.3">
      <c r="A72" s="1">
        <f t="shared" si="34"/>
        <v>2404</v>
      </c>
      <c r="B72" s="1" t="str">
        <f>B68</f>
        <v>(버프) 창 타워</v>
      </c>
      <c r="C72" s="1">
        <v>1</v>
      </c>
      <c r="D72" s="1">
        <v>0</v>
      </c>
      <c r="E72" s="1">
        <f>E68</f>
        <v>1</v>
      </c>
      <c r="F72" s="1">
        <v>1</v>
      </c>
      <c r="G72" s="1" t="b">
        <v>0</v>
      </c>
      <c r="H72" s="1">
        <v>0</v>
      </c>
      <c r="I72" s="1">
        <v>0</v>
      </c>
      <c r="J72" s="1">
        <f t="shared" si="33"/>
        <v>1</v>
      </c>
      <c r="K72" s="1">
        <f>IF(L72="Buff",1.4,25)</f>
        <v>1.4</v>
      </c>
      <c r="L72" s="1" t="str">
        <f>L68</f>
        <v>Buff</v>
      </c>
      <c r="M72" s="1" t="str">
        <f t="shared" si="32"/>
        <v>Tower</v>
      </c>
      <c r="N72" s="1" t="str">
        <f>N68</f>
        <v>CriticalRate</v>
      </c>
      <c r="O72" s="1" t="str">
        <f>O68</f>
        <v>None</v>
      </c>
      <c r="Q72" s="2">
        <f t="shared" si="30"/>
        <v>0</v>
      </c>
      <c r="R72" s="2">
        <f t="shared" si="31"/>
        <v>0</v>
      </c>
      <c r="T72" s="2">
        <f t="shared" si="29"/>
        <v>15</v>
      </c>
      <c r="U72" s="2">
        <f t="shared" si="29"/>
        <v>15</v>
      </c>
      <c r="W72" s="6">
        <f>Q72-$T$9</f>
        <v>-15</v>
      </c>
      <c r="X72" s="6">
        <f>R72-$U$9</f>
        <v>-15</v>
      </c>
    </row>
    <row r="73" spans="1:24" x14ac:dyDescent="0.3">
      <c r="A73" s="1">
        <f t="shared" si="34"/>
        <v>3104</v>
      </c>
      <c r="B73" s="1" t="str">
        <f>B65</f>
        <v>(광역) 창 타워</v>
      </c>
      <c r="C73" s="1">
        <v>1</v>
      </c>
      <c r="D73" s="1">
        <f>ROUND(D69*2.25,2)</f>
        <v>7.13</v>
      </c>
      <c r="E73" s="1">
        <f>ROUND(E69,2)</f>
        <v>2.25</v>
      </c>
      <c r="F73" s="1">
        <f>ROUND(F69*2.2,2)</f>
        <v>1.39</v>
      </c>
      <c r="G73" s="1" t="b">
        <v>0</v>
      </c>
      <c r="H73" s="1">
        <f>IF(H69*1.4 &lt;= 1, H69*1.4, 1)</f>
        <v>0.1764</v>
      </c>
      <c r="I73" s="1">
        <f>ROUND(I69*1.5,2)</f>
        <v>0.06</v>
      </c>
      <c r="J73" s="1">
        <f>ROUND(J65*2,2)</f>
        <v>1</v>
      </c>
      <c r="K73" s="1">
        <v>60</v>
      </c>
      <c r="L73" s="1" t="str">
        <f t="shared" ref="L73:L84" si="35">L69</f>
        <v>Splash</v>
      </c>
      <c r="M73" s="1" t="str">
        <f t="shared" si="32"/>
        <v>Enemy</v>
      </c>
      <c r="N73" s="1" t="s">
        <v>12</v>
      </c>
      <c r="O73" s="1" t="s">
        <v>12</v>
      </c>
      <c r="Q73" s="2">
        <f t="shared" si="30"/>
        <v>594.64</v>
      </c>
      <c r="R73" s="2">
        <f t="shared" si="31"/>
        <v>705.83</v>
      </c>
      <c r="T73" s="2">
        <f t="shared" si="29"/>
        <v>479.72</v>
      </c>
      <c r="U73" s="2">
        <f t="shared" si="29"/>
        <v>530</v>
      </c>
      <c r="W73" s="3">
        <f>Q73-$T$10</f>
        <v>114.91999999999996</v>
      </c>
      <c r="X73" s="3">
        <f>R73-$U$10</f>
        <v>175.83000000000004</v>
      </c>
    </row>
    <row r="74" spans="1:24" x14ac:dyDescent="0.3">
      <c r="A74" s="1">
        <f t="shared" si="34"/>
        <v>3204</v>
      </c>
      <c r="B74" s="1" t="str">
        <f>B66</f>
        <v>(단일) 창 타워</v>
      </c>
      <c r="C74" s="1">
        <v>1</v>
      </c>
      <c r="D74" s="1">
        <f>ROUND(D70*2,2)</f>
        <v>4.5999999999999996</v>
      </c>
      <c r="E74" s="1">
        <f>ROUND(E70,2)</f>
        <v>2.25</v>
      </c>
      <c r="F74" s="1">
        <f>ROUND(F70*2.4,2)</f>
        <v>2.64</v>
      </c>
      <c r="G74" s="1" t="b">
        <v>0</v>
      </c>
      <c r="H74" s="1">
        <f>IF(H70*1.4 &lt;= 1, H70*1.4, 1)</f>
        <v>0.20159999999999997</v>
      </c>
      <c r="I74" s="1">
        <f>ROUND(I70*1.5,2)</f>
        <v>0.05</v>
      </c>
      <c r="J74" s="1">
        <f t="shared" si="33"/>
        <v>0</v>
      </c>
      <c r="K74" s="1">
        <v>0</v>
      </c>
      <c r="L74" s="1" t="str">
        <f t="shared" si="35"/>
        <v>Target</v>
      </c>
      <c r="M74" s="1" t="str">
        <f t="shared" si="32"/>
        <v>Enemy</v>
      </c>
      <c r="N74" s="1" t="s">
        <v>12</v>
      </c>
      <c r="O74" s="1" t="s">
        <v>12</v>
      </c>
      <c r="Q74" s="2">
        <f t="shared" si="30"/>
        <v>728.64</v>
      </c>
      <c r="R74" s="2">
        <f t="shared" si="31"/>
        <v>882.88</v>
      </c>
      <c r="T74" s="2">
        <f t="shared" si="29"/>
        <v>612.57000000000005</v>
      </c>
      <c r="U74" s="2">
        <f t="shared" si="29"/>
        <v>699.51</v>
      </c>
      <c r="W74" s="4">
        <f>Q74-$T$11</f>
        <v>116.06999999999994</v>
      </c>
      <c r="X74" s="4">
        <f>R74-$U$11</f>
        <v>183.37</v>
      </c>
    </row>
    <row r="75" spans="1:24" x14ac:dyDescent="0.3">
      <c r="A75" s="1">
        <f t="shared" si="34"/>
        <v>3304</v>
      </c>
      <c r="B75" s="1" t="str">
        <f>B67</f>
        <v>(함정) 창 타워</v>
      </c>
      <c r="C75" s="1">
        <v>1</v>
      </c>
      <c r="D75" s="1">
        <f>ROUND(D71*2.5,2)</f>
        <v>20</v>
      </c>
      <c r="E75" s="1">
        <f>ROUND(E71,2)</f>
        <v>2.25</v>
      </c>
      <c r="F75" s="1">
        <f>ROUND(F71*2.2,2)</f>
        <v>0.2</v>
      </c>
      <c r="G75" s="1" t="b">
        <v>0</v>
      </c>
      <c r="H75" s="1">
        <v>0</v>
      </c>
      <c r="I75" s="1">
        <v>0</v>
      </c>
      <c r="J75" s="1">
        <f t="shared" si="33"/>
        <v>30</v>
      </c>
      <c r="K75" s="1">
        <v>0</v>
      </c>
      <c r="L75" s="1" t="str">
        <f t="shared" si="35"/>
        <v>Trap</v>
      </c>
      <c r="M75" s="1" t="str">
        <f t="shared" si="32"/>
        <v>Enemy</v>
      </c>
      <c r="N75" s="1" t="s">
        <v>12</v>
      </c>
      <c r="O75" s="1" t="s">
        <v>12</v>
      </c>
      <c r="Q75" s="2">
        <f t="shared" si="30"/>
        <v>240</v>
      </c>
      <c r="R75" s="2">
        <f t="shared" si="31"/>
        <v>240</v>
      </c>
      <c r="T75" s="2">
        <f t="shared" si="29"/>
        <v>208.8</v>
      </c>
      <c r="U75" s="2">
        <f t="shared" si="29"/>
        <v>208.8</v>
      </c>
      <c r="W75" s="5">
        <f>Q75-$T$12</f>
        <v>31.199999999999989</v>
      </c>
      <c r="X75" s="5">
        <f>R75-$U$12</f>
        <v>31.199999999999989</v>
      </c>
    </row>
    <row r="76" spans="1:24" x14ac:dyDescent="0.3">
      <c r="A76" s="1">
        <f t="shared" si="34"/>
        <v>3404</v>
      </c>
      <c r="B76" s="1" t="str">
        <f>B68</f>
        <v>(버프) 창 타워</v>
      </c>
      <c r="C76" s="1">
        <v>1</v>
      </c>
      <c r="D76" s="1">
        <v>0</v>
      </c>
      <c r="E76" s="1">
        <f>E72+1</f>
        <v>2</v>
      </c>
      <c r="F76" s="1">
        <v>1</v>
      </c>
      <c r="G76" s="1" t="b">
        <v>0</v>
      </c>
      <c r="H76" s="1">
        <v>0</v>
      </c>
      <c r="I76" s="1">
        <v>0</v>
      </c>
      <c r="J76" s="1">
        <f t="shared" si="33"/>
        <v>1</v>
      </c>
      <c r="K76" s="1">
        <f>IF(L76="Buff",2,60)</f>
        <v>2</v>
      </c>
      <c r="L76" s="1" t="str">
        <f t="shared" si="35"/>
        <v>Buff</v>
      </c>
      <c r="M76" s="1" t="str">
        <f t="shared" si="32"/>
        <v>Tower</v>
      </c>
      <c r="N76" s="1" t="str">
        <f>N72</f>
        <v>CriticalRate</v>
      </c>
      <c r="O76" s="1" t="str">
        <f>O72</f>
        <v>None</v>
      </c>
      <c r="Q76" s="2">
        <f t="shared" si="30"/>
        <v>0</v>
      </c>
      <c r="R76" s="2">
        <f t="shared" si="31"/>
        <v>0</v>
      </c>
      <c r="T76" s="2">
        <f t="shared" si="29"/>
        <v>22.5</v>
      </c>
      <c r="U76" s="2">
        <f t="shared" si="29"/>
        <v>22.5</v>
      </c>
      <c r="W76" s="6">
        <f>Q76-$T$13</f>
        <v>-22.5</v>
      </c>
      <c r="X76" s="6">
        <f>R76-$U$13</f>
        <v>-22.5</v>
      </c>
    </row>
    <row r="77" spans="1:24" x14ac:dyDescent="0.3">
      <c r="A77" s="1">
        <f t="shared" si="34"/>
        <v>4104</v>
      </c>
      <c r="B77" s="1" t="str">
        <f>B65</f>
        <v>(광역) 창 타워</v>
      </c>
      <c r="C77" s="1">
        <v>1</v>
      </c>
      <c r="D77" s="1">
        <f>ROUND(D73*3,2)</f>
        <v>21.39</v>
      </c>
      <c r="E77" s="1">
        <f>ROUND(E73*1.1,2)</f>
        <v>2.48</v>
      </c>
      <c r="F77" s="1">
        <f>ROUND(F73*2.5,2)</f>
        <v>3.48</v>
      </c>
      <c r="G77" s="1" t="b">
        <v>0</v>
      </c>
      <c r="H77" s="1">
        <f>IF(H73*1.6 &lt;= 1, H73*1.6, 1)</f>
        <v>0.28223999999999999</v>
      </c>
      <c r="I77" s="1">
        <f>ROUND(I73*2,2)</f>
        <v>0.12</v>
      </c>
      <c r="J77" s="1">
        <f>ROUND(J65*3,2)</f>
        <v>1.5</v>
      </c>
      <c r="K77" s="1">
        <v>150</v>
      </c>
      <c r="L77" s="1" t="str">
        <f t="shared" si="35"/>
        <v>Splash</v>
      </c>
      <c r="M77" s="1" t="str">
        <f t="shared" si="32"/>
        <v>Enemy</v>
      </c>
      <c r="N77" s="1" t="s">
        <v>12</v>
      </c>
      <c r="O77" s="1" t="s">
        <v>12</v>
      </c>
      <c r="Q77" s="2">
        <f t="shared" si="30"/>
        <v>4466.2299999999996</v>
      </c>
      <c r="R77" s="2">
        <f t="shared" si="31"/>
        <v>5878.04</v>
      </c>
      <c r="T77" s="2">
        <f t="shared" si="29"/>
        <v>3601.59</v>
      </c>
      <c r="U77" s="2">
        <f t="shared" si="29"/>
        <v>4306.1000000000004</v>
      </c>
      <c r="W77" s="3">
        <f>Q77-$T$14</f>
        <v>864.63999999999942</v>
      </c>
      <c r="X77" s="3">
        <f>R77-$U$14</f>
        <v>1571.9399999999996</v>
      </c>
    </row>
    <row r="78" spans="1:24" x14ac:dyDescent="0.3">
      <c r="A78" s="1">
        <f t="shared" si="34"/>
        <v>4204</v>
      </c>
      <c r="B78" s="1" t="str">
        <f>B66</f>
        <v>(단일) 창 타워</v>
      </c>
      <c r="C78" s="1">
        <v>1</v>
      </c>
      <c r="D78" s="1">
        <f>ROUND(D74*3,2)</f>
        <v>13.8</v>
      </c>
      <c r="E78" s="1">
        <f>ROUND(E74*1.1,2)</f>
        <v>2.48</v>
      </c>
      <c r="F78" s="1">
        <f>ROUND(F74*2.75,2)</f>
        <v>7.26</v>
      </c>
      <c r="G78" s="1" t="b">
        <v>0</v>
      </c>
      <c r="H78" s="1">
        <f>IF(H74*1.6 &lt;= 1, H74*1.6, 1)</f>
        <v>0.32255999999999996</v>
      </c>
      <c r="I78" s="1">
        <f>ROUND(I74*2,2)</f>
        <v>0.1</v>
      </c>
      <c r="J78" s="1">
        <f t="shared" si="33"/>
        <v>0</v>
      </c>
      <c r="K78" s="1">
        <v>0</v>
      </c>
      <c r="L78" s="1" t="str">
        <f t="shared" si="35"/>
        <v>Target</v>
      </c>
      <c r="M78" s="1" t="str">
        <f t="shared" si="32"/>
        <v>Enemy</v>
      </c>
      <c r="N78" s="1" t="s">
        <v>12</v>
      </c>
      <c r="O78" s="1" t="s">
        <v>12</v>
      </c>
      <c r="Q78" s="2">
        <f t="shared" si="30"/>
        <v>6011.28</v>
      </c>
      <c r="R78" s="2">
        <f t="shared" si="31"/>
        <v>8144.18</v>
      </c>
      <c r="T78" s="2">
        <f t="shared" si="29"/>
        <v>5055.3500000000004</v>
      </c>
      <c r="U78" s="2">
        <f t="shared" si="29"/>
        <v>6489.95</v>
      </c>
      <c r="W78" s="4">
        <f>Q78-$T$15</f>
        <v>955.92999999999938</v>
      </c>
      <c r="X78" s="4">
        <f>R78-$U$15</f>
        <v>1654.2300000000005</v>
      </c>
    </row>
    <row r="79" spans="1:24" x14ac:dyDescent="0.3">
      <c r="A79" s="1">
        <f t="shared" si="34"/>
        <v>4304</v>
      </c>
      <c r="B79" s="1" t="str">
        <f>B67</f>
        <v>(함정) 창 타워</v>
      </c>
      <c r="C79" s="1">
        <v>1</v>
      </c>
      <c r="D79" s="1">
        <f>ROUND(D75*3,2)</f>
        <v>60</v>
      </c>
      <c r="E79" s="1">
        <f>ROUND(E75*1.1,2)</f>
        <v>2.48</v>
      </c>
      <c r="F79" s="1">
        <f>ROUND(F75*2.5,2)</f>
        <v>0.5</v>
      </c>
      <c r="G79" s="1" t="b">
        <v>0</v>
      </c>
      <c r="H79" s="1">
        <v>0</v>
      </c>
      <c r="I79" s="1">
        <v>0</v>
      </c>
      <c r="J79" s="1">
        <f t="shared" si="33"/>
        <v>30</v>
      </c>
      <c r="K79" s="1">
        <v>0</v>
      </c>
      <c r="L79" s="1" t="str">
        <f t="shared" si="35"/>
        <v>Trap</v>
      </c>
      <c r="M79" s="1" t="str">
        <f t="shared" si="32"/>
        <v>Enemy</v>
      </c>
      <c r="N79" s="1" t="s">
        <v>12</v>
      </c>
      <c r="O79" s="1" t="s">
        <v>12</v>
      </c>
      <c r="Q79" s="2">
        <f t="shared" si="30"/>
        <v>1800</v>
      </c>
      <c r="R79" s="2">
        <f t="shared" si="31"/>
        <v>1800</v>
      </c>
      <c r="T79" s="2">
        <f t="shared" si="29"/>
        <v>1570.5</v>
      </c>
      <c r="U79" s="2">
        <f t="shared" si="29"/>
        <v>1570.5</v>
      </c>
      <c r="W79" s="5">
        <f>Q79-$T$16</f>
        <v>229.5</v>
      </c>
      <c r="X79" s="5">
        <f>R79-$U$16</f>
        <v>229.5</v>
      </c>
    </row>
    <row r="80" spans="1:24" x14ac:dyDescent="0.3">
      <c r="A80" s="1">
        <f t="shared" si="34"/>
        <v>4404</v>
      </c>
      <c r="B80" s="1" t="str">
        <f>B68</f>
        <v>(버프) 창 타워</v>
      </c>
      <c r="C80" s="1">
        <v>1</v>
      </c>
      <c r="D80" s="1">
        <v>0</v>
      </c>
      <c r="E80" s="1">
        <f>E76+2</f>
        <v>4</v>
      </c>
      <c r="F80" s="1">
        <v>1</v>
      </c>
      <c r="G80" s="1" t="b">
        <v>0</v>
      </c>
      <c r="H80" s="1">
        <v>0</v>
      </c>
      <c r="I80" s="1">
        <v>0</v>
      </c>
      <c r="J80" s="1">
        <f t="shared" si="33"/>
        <v>1</v>
      </c>
      <c r="K80" s="1">
        <f>IF(L80="Buff",3,150)</f>
        <v>3</v>
      </c>
      <c r="L80" s="1" t="str">
        <f t="shared" si="35"/>
        <v>Buff</v>
      </c>
      <c r="M80" s="1" t="str">
        <f t="shared" si="32"/>
        <v>Tower</v>
      </c>
      <c r="N80" s="1" t="str">
        <f>N76</f>
        <v>CriticalRate</v>
      </c>
      <c r="O80" s="1" t="str">
        <f>O76</f>
        <v>None</v>
      </c>
      <c r="Q80" s="2">
        <f t="shared" si="30"/>
        <v>0</v>
      </c>
      <c r="R80" s="2">
        <f t="shared" si="31"/>
        <v>0</v>
      </c>
      <c r="T80" s="2">
        <f t="shared" si="29"/>
        <v>37.5</v>
      </c>
      <c r="U80" s="2">
        <f t="shared" si="29"/>
        <v>37.5</v>
      </c>
      <c r="W80" s="6">
        <f>Q80-$T$17</f>
        <v>-37.5</v>
      </c>
      <c r="X80" s="6">
        <f>R80-$U$17</f>
        <v>-37.5</v>
      </c>
    </row>
    <row r="81" spans="1:24" x14ac:dyDescent="0.3">
      <c r="A81" s="1">
        <f t="shared" si="34"/>
        <v>5104</v>
      </c>
      <c r="B81" s="1" t="str">
        <f>B65</f>
        <v>(광역) 창 타워</v>
      </c>
      <c r="C81" s="1">
        <v>1</v>
      </c>
      <c r="D81" s="1">
        <f>ROUND(D77*4.2,2)</f>
        <v>89.84</v>
      </c>
      <c r="E81" s="1">
        <f>ROUND(E77*1.25,2)</f>
        <v>3.1</v>
      </c>
      <c r="F81" s="1">
        <f>ROUND(F77*3,2)</f>
        <v>10.44</v>
      </c>
      <c r="G81" s="1" t="b">
        <v>0</v>
      </c>
      <c r="H81" s="1">
        <f>IF(H77*1.8 &lt;= 1, H77*1.8, 1)</f>
        <v>0.50803200000000004</v>
      </c>
      <c r="I81" s="1">
        <f>ROUND(I77*2.8,2)</f>
        <v>0.34</v>
      </c>
      <c r="J81" s="1">
        <f>ROUND(J65*5,2)</f>
        <v>2.5</v>
      </c>
      <c r="K81" s="1">
        <v>525</v>
      </c>
      <c r="L81" s="1" t="str">
        <f t="shared" si="35"/>
        <v>Splash</v>
      </c>
      <c r="M81" s="1" t="str">
        <f t="shared" si="32"/>
        <v>Enemy</v>
      </c>
      <c r="N81" s="1" t="s">
        <v>12</v>
      </c>
      <c r="O81" s="1" t="s">
        <v>12</v>
      </c>
      <c r="Q81" s="2">
        <f t="shared" si="30"/>
        <v>56275.78</v>
      </c>
      <c r="R81" s="2">
        <f t="shared" si="31"/>
        <v>94586.240000000005</v>
      </c>
      <c r="T81" s="2">
        <f t="shared" si="29"/>
        <v>45381.34</v>
      </c>
      <c r="U81" s="2">
        <f t="shared" si="29"/>
        <v>69583.23</v>
      </c>
      <c r="W81" s="3">
        <f>Q81-$T$18</f>
        <v>10894.440000000002</v>
      </c>
      <c r="X81" s="3">
        <f>R81-$U$18</f>
        <v>25003.010000000009</v>
      </c>
    </row>
    <row r="82" spans="1:24" x14ac:dyDescent="0.3">
      <c r="A82" s="1">
        <f t="shared" si="34"/>
        <v>5204</v>
      </c>
      <c r="B82" s="1" t="str">
        <f>B66</f>
        <v>(단일) 창 타워</v>
      </c>
      <c r="C82" s="1">
        <v>1</v>
      </c>
      <c r="D82" s="1">
        <f>ROUND(D78*5,2)</f>
        <v>69</v>
      </c>
      <c r="E82" s="1">
        <f t="shared" ref="E82:E83" si="36">ROUND(E78*1.25,2)</f>
        <v>3.1</v>
      </c>
      <c r="F82" s="1">
        <f>ROUND(F78*4,2)</f>
        <v>29.04</v>
      </c>
      <c r="G82" s="1" t="b">
        <v>0</v>
      </c>
      <c r="H82" s="1">
        <f>IF(H78*1.8 &lt;= 1, H78*1.8, 1)</f>
        <v>0.5806079999999999</v>
      </c>
      <c r="I82" s="1">
        <f>ROUND(I78*2.8,2)</f>
        <v>0.28000000000000003</v>
      </c>
      <c r="J82" s="1">
        <f t="shared" si="33"/>
        <v>0</v>
      </c>
      <c r="K82" s="1">
        <v>0</v>
      </c>
      <c r="L82" s="1" t="str">
        <f t="shared" si="35"/>
        <v>Target</v>
      </c>
      <c r="M82" s="1" t="str">
        <f t="shared" si="32"/>
        <v>Enemy</v>
      </c>
      <c r="N82" s="1" t="s">
        <v>12</v>
      </c>
      <c r="O82" s="1" t="s">
        <v>12</v>
      </c>
      <c r="Q82" s="2">
        <f t="shared" si="30"/>
        <v>120225.60000000001</v>
      </c>
      <c r="R82" s="2">
        <f t="shared" si="31"/>
        <v>209574.65</v>
      </c>
      <c r="T82" s="2">
        <f t="shared" si="29"/>
        <v>101106.9</v>
      </c>
      <c r="U82" s="2">
        <f t="shared" si="29"/>
        <v>189869.9</v>
      </c>
      <c r="W82" s="4">
        <f>Q82-$T$19</f>
        <v>19118.700000000012</v>
      </c>
      <c r="X82" s="4">
        <f>R82-$U$19</f>
        <v>19704.75</v>
      </c>
    </row>
    <row r="83" spans="1:24" x14ac:dyDescent="0.3">
      <c r="A83" s="1">
        <f t="shared" si="34"/>
        <v>5304</v>
      </c>
      <c r="B83" s="1" t="str">
        <f>B67</f>
        <v>(함정) 창 타워</v>
      </c>
      <c r="C83" s="1">
        <v>1</v>
      </c>
      <c r="D83" s="1">
        <f>ROUND(D79*5,2)</f>
        <v>300</v>
      </c>
      <c r="E83" s="1">
        <f t="shared" si="36"/>
        <v>3.1</v>
      </c>
      <c r="F83" s="1">
        <f>ROUND(F79*3,2)</f>
        <v>1.5</v>
      </c>
      <c r="G83" s="1" t="b">
        <v>0</v>
      </c>
      <c r="H83" s="1">
        <v>0</v>
      </c>
      <c r="I83" s="1">
        <v>0</v>
      </c>
      <c r="J83" s="1">
        <f t="shared" si="33"/>
        <v>30</v>
      </c>
      <c r="K83" s="1">
        <v>0</v>
      </c>
      <c r="L83" s="1" t="str">
        <f t="shared" si="35"/>
        <v>Trap</v>
      </c>
      <c r="M83" s="1" t="str">
        <f t="shared" si="32"/>
        <v>Enemy</v>
      </c>
      <c r="N83" s="1" t="s">
        <v>12</v>
      </c>
      <c r="O83" s="1" t="s">
        <v>12</v>
      </c>
      <c r="Q83" s="2">
        <f t="shared" si="30"/>
        <v>27000</v>
      </c>
      <c r="R83" s="2">
        <f t="shared" si="31"/>
        <v>27000</v>
      </c>
      <c r="T83" s="2">
        <f t="shared" si="29"/>
        <v>23557.5</v>
      </c>
      <c r="U83" s="2">
        <f t="shared" si="29"/>
        <v>23557.5</v>
      </c>
      <c r="W83" s="5">
        <f>Q83-$T$20</f>
        <v>3442.5</v>
      </c>
      <c r="X83" s="5">
        <f>R83-$U$20</f>
        <v>3442.5</v>
      </c>
    </row>
    <row r="84" spans="1:24" x14ac:dyDescent="0.3">
      <c r="A84" s="1">
        <f t="shared" si="34"/>
        <v>5404</v>
      </c>
      <c r="B84" s="1" t="str">
        <f>B68</f>
        <v>(버프) 창 타워</v>
      </c>
      <c r="C84" s="1">
        <v>1</v>
      </c>
      <c r="D84" s="1">
        <v>0</v>
      </c>
      <c r="E84" s="1">
        <f>E80+3</f>
        <v>7</v>
      </c>
      <c r="F84" s="1">
        <v>1</v>
      </c>
      <c r="G84" s="1" t="b">
        <v>0</v>
      </c>
      <c r="H84" s="1">
        <v>0</v>
      </c>
      <c r="I84" s="1">
        <v>0</v>
      </c>
      <c r="J84" s="1">
        <f t="shared" si="33"/>
        <v>1</v>
      </c>
      <c r="K84" s="1">
        <f>IF(L84="Buff",5,525)</f>
        <v>5</v>
      </c>
      <c r="L84" s="1" t="str">
        <f t="shared" si="35"/>
        <v>Buff</v>
      </c>
      <c r="M84" s="1" t="str">
        <f t="shared" si="32"/>
        <v>Tower</v>
      </c>
      <c r="N84" s="1" t="str">
        <f>N80</f>
        <v>CriticalRate</v>
      </c>
      <c r="O84" s="1" t="str">
        <f>O80</f>
        <v>None</v>
      </c>
      <c r="Q84" s="2">
        <f t="shared" si="30"/>
        <v>0</v>
      </c>
      <c r="R84" s="2">
        <f t="shared" si="31"/>
        <v>0</v>
      </c>
      <c r="T84" s="2">
        <f t="shared" si="29"/>
        <v>75</v>
      </c>
      <c r="U84" s="2">
        <f t="shared" si="29"/>
        <v>75</v>
      </c>
      <c r="W84" s="6">
        <f>Q84-$T$21</f>
        <v>-75</v>
      </c>
      <c r="X84" s="6">
        <f>R84-$U$21</f>
        <v>-75</v>
      </c>
    </row>
    <row r="85" spans="1:24" x14ac:dyDescent="0.3">
      <c r="W85" s="6"/>
      <c r="X85" s="6"/>
    </row>
    <row r="86" spans="1:24" x14ac:dyDescent="0.3">
      <c r="A86" s="1">
        <v>1105</v>
      </c>
      <c r="B86" s="1" t="s">
        <v>52</v>
      </c>
      <c r="C86" s="1">
        <v>1</v>
      </c>
      <c r="D86" s="1">
        <v>2.15</v>
      </c>
      <c r="E86" s="1">
        <v>2.1</v>
      </c>
      <c r="F86" s="1">
        <v>0.18</v>
      </c>
      <c r="G86" s="1" t="b">
        <v>0</v>
      </c>
      <c r="H86" s="1">
        <v>2.5000000000000001E-3</v>
      </c>
      <c r="I86" s="1">
        <v>5.5</v>
      </c>
      <c r="J86" s="1">
        <v>0.5</v>
      </c>
      <c r="K86" s="1">
        <v>8.6957000000000004</v>
      </c>
      <c r="L86" s="1" t="s">
        <v>3</v>
      </c>
      <c r="M86" s="1" t="str">
        <f t="shared" ref="M86:M88" si="37">IF(L86="Buff","Tower","Enemy")</f>
        <v>Enemy</v>
      </c>
      <c r="N86" s="1" t="s">
        <v>12</v>
      </c>
      <c r="O86" s="1" t="s">
        <v>12</v>
      </c>
      <c r="Q86" s="2">
        <f>ROUND(60*(D86*F86),2)</f>
        <v>23.22</v>
      </c>
      <c r="R86" s="2">
        <f>ROUND((Q86*H86*(2+I86))+Q86*(1-H86),2)</f>
        <v>23.6</v>
      </c>
      <c r="T86" s="2">
        <f t="shared" ref="T86:U105" si="38">T2</f>
        <v>25.54</v>
      </c>
      <c r="U86" s="2">
        <f t="shared" si="38"/>
        <v>27.01</v>
      </c>
      <c r="W86" s="3">
        <f>Q86-$T$2</f>
        <v>-2.3200000000000003</v>
      </c>
      <c r="X86" s="3">
        <f>R86-$U$2</f>
        <v>-3.41</v>
      </c>
    </row>
    <row r="87" spans="1:24" x14ac:dyDescent="0.3">
      <c r="A87" s="1">
        <f>A86+100</f>
        <v>1205</v>
      </c>
      <c r="B87" s="1" t="s">
        <v>53</v>
      </c>
      <c r="C87" s="1">
        <v>1</v>
      </c>
      <c r="D87" s="1">
        <v>2.5</v>
      </c>
      <c r="E87" s="1">
        <v>2.1</v>
      </c>
      <c r="F87" s="1">
        <v>0.2</v>
      </c>
      <c r="G87" s="1" t="b">
        <v>0</v>
      </c>
      <c r="H87" s="1">
        <v>4.4999999999999997E-3</v>
      </c>
      <c r="I87" s="1">
        <v>4.2</v>
      </c>
      <c r="J87" s="1">
        <v>0</v>
      </c>
      <c r="K87" s="1">
        <v>0</v>
      </c>
      <c r="L87" s="1" t="s">
        <v>4</v>
      </c>
      <c r="M87" s="1" t="str">
        <f t="shared" si="37"/>
        <v>Enemy</v>
      </c>
      <c r="N87" s="1" t="s">
        <v>12</v>
      </c>
      <c r="O87" s="1" t="s">
        <v>12</v>
      </c>
      <c r="Q87" s="2">
        <f t="shared" ref="Q87:Q105" si="39">ROUND(60*(D87*F87),2)</f>
        <v>30</v>
      </c>
      <c r="R87" s="2">
        <f t="shared" ref="R87:R105" si="40">ROUND((Q87*H87*(2+I87))+Q87*(1-H87),2)</f>
        <v>30.7</v>
      </c>
      <c r="T87" s="2">
        <f t="shared" si="38"/>
        <v>33.96</v>
      </c>
      <c r="U87" s="2">
        <f t="shared" si="38"/>
        <v>36.51</v>
      </c>
      <c r="W87" s="4">
        <f>Q87-$T$3</f>
        <v>-3.9600000000000009</v>
      </c>
      <c r="X87" s="4">
        <f>R87-$U$3</f>
        <v>-5.8099999999999987</v>
      </c>
    </row>
    <row r="88" spans="1:24" x14ac:dyDescent="0.3">
      <c r="A88" s="1">
        <f>A86+200</f>
        <v>1305</v>
      </c>
      <c r="B88" s="1" t="s">
        <v>54</v>
      </c>
      <c r="C88" s="1">
        <v>1</v>
      </c>
      <c r="D88" s="1">
        <v>3</v>
      </c>
      <c r="E88" s="1">
        <v>2.1</v>
      </c>
      <c r="F88" s="1">
        <v>0.05</v>
      </c>
      <c r="G88" s="1" t="b">
        <v>0</v>
      </c>
      <c r="H88" s="1">
        <v>0</v>
      </c>
      <c r="I88" s="1">
        <v>0</v>
      </c>
      <c r="J88" s="1">
        <v>30</v>
      </c>
      <c r="K88" s="1">
        <v>0</v>
      </c>
      <c r="L88" s="1" t="s">
        <v>5</v>
      </c>
      <c r="M88" s="1" t="str">
        <f t="shared" si="37"/>
        <v>Enemy</v>
      </c>
      <c r="N88" s="1" t="s">
        <v>12</v>
      </c>
      <c r="O88" s="1" t="s">
        <v>12</v>
      </c>
      <c r="Q88" s="2">
        <f t="shared" si="39"/>
        <v>9</v>
      </c>
      <c r="R88" s="2">
        <f t="shared" si="40"/>
        <v>9</v>
      </c>
      <c r="T88" s="2">
        <f t="shared" si="38"/>
        <v>9.08</v>
      </c>
      <c r="U88" s="2">
        <f t="shared" si="38"/>
        <v>9.08</v>
      </c>
      <c r="W88" s="5">
        <f>Q88-$T$4</f>
        <v>-8.0000000000000071E-2</v>
      </c>
      <c r="X88" s="5">
        <f>R88-$U$4</f>
        <v>-8.0000000000000071E-2</v>
      </c>
    </row>
    <row r="89" spans="1:24" x14ac:dyDescent="0.3">
      <c r="A89" s="1">
        <f>A86+300</f>
        <v>1405</v>
      </c>
      <c r="B89" s="1" t="s">
        <v>55</v>
      </c>
      <c r="C89" s="1">
        <v>1</v>
      </c>
      <c r="D89" s="1">
        <v>0</v>
      </c>
      <c r="E89" s="1">
        <v>1</v>
      </c>
      <c r="F89" s="1">
        <v>1</v>
      </c>
      <c r="G89" s="1" t="b">
        <v>0</v>
      </c>
      <c r="H89" s="1">
        <v>0</v>
      </c>
      <c r="I89" s="1">
        <v>0</v>
      </c>
      <c r="J89" s="1">
        <v>1</v>
      </c>
      <c r="K89" s="1">
        <f>IF(L89="Buff",1.2,8.6957)</f>
        <v>1.2</v>
      </c>
      <c r="L89" s="1" t="s">
        <v>6</v>
      </c>
      <c r="M89" s="1" t="str">
        <f>IF(L89="Buff","Tower","Enemy")</f>
        <v>Tower</v>
      </c>
      <c r="N89" s="1" t="s">
        <v>18</v>
      </c>
      <c r="O89" s="1" t="s">
        <v>12</v>
      </c>
      <c r="Q89" s="2">
        <f t="shared" si="39"/>
        <v>0</v>
      </c>
      <c r="R89" s="2">
        <f t="shared" si="40"/>
        <v>0</v>
      </c>
      <c r="T89" s="2">
        <f t="shared" si="38"/>
        <v>7.5</v>
      </c>
      <c r="U89" s="2">
        <f t="shared" si="38"/>
        <v>7.5</v>
      </c>
      <c r="W89" s="6">
        <f>Q89-$T$5</f>
        <v>-7.5</v>
      </c>
      <c r="X89" s="6">
        <f>R89-$U$5</f>
        <v>-7.5</v>
      </c>
    </row>
    <row r="90" spans="1:24" x14ac:dyDescent="0.3">
      <c r="A90" s="1">
        <f>A86+1000</f>
        <v>2105</v>
      </c>
      <c r="B90" s="1" t="str">
        <f>B86</f>
        <v>(광역) 도끼 타워</v>
      </c>
      <c r="C90" s="1">
        <v>1</v>
      </c>
      <c r="D90" s="1">
        <f>ROUND(D86*1.8,2)</f>
        <v>3.87</v>
      </c>
      <c r="E90" s="1">
        <f>ROUND(E86,2)</f>
        <v>2.1</v>
      </c>
      <c r="F90" s="1">
        <f>ROUND(F86*2.1,2)</f>
        <v>0.38</v>
      </c>
      <c r="G90" s="1" t="b">
        <v>0</v>
      </c>
      <c r="H90" s="1">
        <f>IF(H86*1.2 &lt;= 1, H86*1.2, 1)</f>
        <v>3.0000000000000001E-3</v>
      </c>
      <c r="I90" s="1">
        <f>ROUND(I86*1.2,2)</f>
        <v>6.6</v>
      </c>
      <c r="J90" s="1">
        <f>ROUND(J86*1.5,2)</f>
        <v>0.75</v>
      </c>
      <c r="K90" s="1">
        <v>25</v>
      </c>
      <c r="L90" s="1" t="str">
        <f>L86</f>
        <v>Splash</v>
      </c>
      <c r="M90" s="1" t="str">
        <f t="shared" ref="M90:M105" si="41">IF(L90="Buff","Tower","Enemy")</f>
        <v>Enemy</v>
      </c>
      <c r="N90" s="1" t="s">
        <v>12</v>
      </c>
      <c r="O90" s="1" t="s">
        <v>12</v>
      </c>
      <c r="Q90" s="2">
        <f t="shared" si="39"/>
        <v>88.24</v>
      </c>
      <c r="R90" s="2">
        <f t="shared" si="40"/>
        <v>90.25</v>
      </c>
      <c r="T90" s="2">
        <f t="shared" si="38"/>
        <v>96.69</v>
      </c>
      <c r="U90" s="2">
        <f t="shared" si="38"/>
        <v>103.51</v>
      </c>
      <c r="W90" s="3">
        <f>Q90-$T$6</f>
        <v>-8.4500000000000028</v>
      </c>
      <c r="X90" s="3">
        <f>R90-$U$6</f>
        <v>-13.260000000000005</v>
      </c>
    </row>
    <row r="91" spans="1:24" x14ac:dyDescent="0.3">
      <c r="A91" s="1">
        <f>A87+1000</f>
        <v>2205</v>
      </c>
      <c r="B91" s="1" t="str">
        <f>B87</f>
        <v>(단일) 도끼 타워</v>
      </c>
      <c r="C91" s="1">
        <v>1</v>
      </c>
      <c r="D91" s="1">
        <f>ROUND(D87*1.7,2)</f>
        <v>4.25</v>
      </c>
      <c r="E91" s="1">
        <f>ROUND(E87,2)</f>
        <v>2.1</v>
      </c>
      <c r="F91" s="1">
        <f>ROUND(F87*2.2,2)</f>
        <v>0.44</v>
      </c>
      <c r="G91" s="1" t="b">
        <v>0</v>
      </c>
      <c r="H91" s="1">
        <f>IF(H87*1.2 &lt;= 1, H87*1.2, 1)</f>
        <v>5.3999999999999994E-3</v>
      </c>
      <c r="I91" s="1">
        <f>ROUND(I87*1.2,2)</f>
        <v>5.04</v>
      </c>
      <c r="J91" s="1">
        <f t="shared" ref="J91:J105" si="42">J87</f>
        <v>0</v>
      </c>
      <c r="K91" s="1">
        <v>0</v>
      </c>
      <c r="L91" s="1" t="str">
        <f>L87</f>
        <v>Target</v>
      </c>
      <c r="M91" s="1" t="str">
        <f t="shared" si="41"/>
        <v>Enemy</v>
      </c>
      <c r="N91" s="1" t="s">
        <v>12</v>
      </c>
      <c r="O91" s="1" t="s">
        <v>12</v>
      </c>
      <c r="Q91" s="2">
        <f t="shared" si="39"/>
        <v>112.2</v>
      </c>
      <c r="R91" s="2">
        <f t="shared" si="40"/>
        <v>115.86</v>
      </c>
      <c r="T91" s="2">
        <f t="shared" si="38"/>
        <v>127.57</v>
      </c>
      <c r="U91" s="2">
        <f t="shared" si="38"/>
        <v>139.41</v>
      </c>
      <c r="W91" s="4">
        <f>Q91-$T$7</f>
        <v>-15.36999999999999</v>
      </c>
      <c r="X91" s="4">
        <f>R91-$U$7</f>
        <v>-23.549999999999997</v>
      </c>
    </row>
    <row r="92" spans="1:24" x14ac:dyDescent="0.3">
      <c r="A92" s="1">
        <f t="shared" ref="A92:A105" si="43">A88+1000</f>
        <v>2305</v>
      </c>
      <c r="B92" s="1" t="str">
        <f>B88</f>
        <v>(함정) 도끼 타워</v>
      </c>
      <c r="C92" s="1">
        <v>1</v>
      </c>
      <c r="D92" s="1">
        <f>ROUND(D88*2,2)</f>
        <v>6</v>
      </c>
      <c r="E92" s="1">
        <f>ROUND(E88,2)</f>
        <v>2.1</v>
      </c>
      <c r="F92" s="1">
        <f>ROUND(F88*2.1,2)</f>
        <v>0.11</v>
      </c>
      <c r="G92" s="1" t="b">
        <v>0</v>
      </c>
      <c r="H92" s="1">
        <v>0</v>
      </c>
      <c r="I92" s="1">
        <v>0</v>
      </c>
      <c r="J92" s="1">
        <f t="shared" si="42"/>
        <v>30</v>
      </c>
      <c r="K92" s="1">
        <v>0</v>
      </c>
      <c r="L92" s="1" t="str">
        <f>L88</f>
        <v>Trap</v>
      </c>
      <c r="M92" s="1" t="str">
        <f t="shared" si="41"/>
        <v>Enemy</v>
      </c>
      <c r="N92" s="1" t="s">
        <v>12</v>
      </c>
      <c r="O92" s="1" t="s">
        <v>12</v>
      </c>
      <c r="Q92" s="2">
        <f t="shared" si="39"/>
        <v>39.6</v>
      </c>
      <c r="R92" s="2">
        <f t="shared" si="40"/>
        <v>39.6</v>
      </c>
      <c r="T92" s="2">
        <f t="shared" si="38"/>
        <v>38.28</v>
      </c>
      <c r="U92" s="2">
        <f t="shared" si="38"/>
        <v>38.28</v>
      </c>
      <c r="W92" s="5">
        <f>Q92-$T$8</f>
        <v>1.3200000000000003</v>
      </c>
      <c r="X92" s="5">
        <f>R92-$U$8</f>
        <v>1.3200000000000003</v>
      </c>
    </row>
    <row r="93" spans="1:24" x14ac:dyDescent="0.3">
      <c r="A93" s="1">
        <f t="shared" si="43"/>
        <v>2405</v>
      </c>
      <c r="B93" s="1" t="str">
        <f>B89</f>
        <v>(버프) 도끼 타워</v>
      </c>
      <c r="C93" s="1">
        <v>1</v>
      </c>
      <c r="D93" s="1">
        <v>0</v>
      </c>
      <c r="E93" s="1">
        <f>E89</f>
        <v>1</v>
      </c>
      <c r="F93" s="1">
        <v>1</v>
      </c>
      <c r="G93" s="1" t="b">
        <v>0</v>
      </c>
      <c r="H93" s="1">
        <v>0</v>
      </c>
      <c r="I93" s="1">
        <v>0</v>
      </c>
      <c r="J93" s="1">
        <f t="shared" si="42"/>
        <v>1</v>
      </c>
      <c r="K93" s="1">
        <f>IF(L93="Buff",1.4,25)</f>
        <v>1.4</v>
      </c>
      <c r="L93" s="1" t="str">
        <f>L89</f>
        <v>Buff</v>
      </c>
      <c r="M93" s="1" t="str">
        <f t="shared" si="41"/>
        <v>Tower</v>
      </c>
      <c r="N93" s="1" t="str">
        <f>N89</f>
        <v>CriticalDamage</v>
      </c>
      <c r="O93" s="1" t="str">
        <f>O89</f>
        <v>None</v>
      </c>
      <c r="Q93" s="2">
        <f t="shared" si="39"/>
        <v>0</v>
      </c>
      <c r="R93" s="2">
        <f t="shared" si="40"/>
        <v>0</v>
      </c>
      <c r="T93" s="2">
        <f t="shared" si="38"/>
        <v>15</v>
      </c>
      <c r="U93" s="2">
        <f t="shared" si="38"/>
        <v>15</v>
      </c>
      <c r="W93" s="6">
        <f>Q93-$T$9</f>
        <v>-15</v>
      </c>
      <c r="X93" s="6">
        <f>R93-$U$9</f>
        <v>-15</v>
      </c>
    </row>
    <row r="94" spans="1:24" x14ac:dyDescent="0.3">
      <c r="A94" s="1">
        <f t="shared" si="43"/>
        <v>3105</v>
      </c>
      <c r="B94" s="1" t="str">
        <f>B86</f>
        <v>(광역) 도끼 타워</v>
      </c>
      <c r="C94" s="1">
        <v>1</v>
      </c>
      <c r="D94" s="1">
        <f>ROUND(D90*2.25,2)</f>
        <v>8.7100000000000009</v>
      </c>
      <c r="E94" s="1">
        <f>ROUND(E90,2)</f>
        <v>2.1</v>
      </c>
      <c r="F94" s="1">
        <f>ROUND(F90*2.2,2)</f>
        <v>0.84</v>
      </c>
      <c r="G94" s="1" t="b">
        <v>0</v>
      </c>
      <c r="H94" s="1">
        <f>IF(H90*1.4 &lt;= 1, H90*1.4, 1)</f>
        <v>4.1999999999999997E-3</v>
      </c>
      <c r="I94" s="1">
        <f>ROUND(I90*1.5,2)</f>
        <v>9.9</v>
      </c>
      <c r="J94" s="1">
        <f>ROUND(J86*2,2)</f>
        <v>1</v>
      </c>
      <c r="K94" s="1">
        <v>60</v>
      </c>
      <c r="L94" s="1" t="str">
        <f t="shared" ref="L94:L105" si="44">L90</f>
        <v>Splash</v>
      </c>
      <c r="M94" s="1" t="str">
        <f t="shared" si="41"/>
        <v>Enemy</v>
      </c>
      <c r="N94" s="1" t="s">
        <v>12</v>
      </c>
      <c r="O94" s="1" t="s">
        <v>12</v>
      </c>
      <c r="Q94" s="2">
        <f t="shared" si="39"/>
        <v>438.98</v>
      </c>
      <c r="R94" s="2">
        <f t="shared" si="40"/>
        <v>459.08</v>
      </c>
      <c r="T94" s="2">
        <f t="shared" si="38"/>
        <v>479.72</v>
      </c>
      <c r="U94" s="2">
        <f t="shared" si="38"/>
        <v>530</v>
      </c>
      <c r="W94" s="3">
        <f>Q94-$T$10</f>
        <v>-40.740000000000009</v>
      </c>
      <c r="X94" s="3">
        <f>R94-$U$10</f>
        <v>-70.920000000000016</v>
      </c>
    </row>
    <row r="95" spans="1:24" x14ac:dyDescent="0.3">
      <c r="A95" s="1">
        <f t="shared" si="43"/>
        <v>3205</v>
      </c>
      <c r="B95" s="1" t="str">
        <f>B87</f>
        <v>(단일) 도끼 타워</v>
      </c>
      <c r="C95" s="1">
        <v>1</v>
      </c>
      <c r="D95" s="1">
        <f>ROUND(D91*2,2)</f>
        <v>8.5</v>
      </c>
      <c r="E95" s="1">
        <f>ROUND(E91,2)</f>
        <v>2.1</v>
      </c>
      <c r="F95" s="1">
        <f>ROUND(F91*2.4,2)</f>
        <v>1.06</v>
      </c>
      <c r="G95" s="1" t="b">
        <v>0</v>
      </c>
      <c r="H95" s="1">
        <f>IF(H91*1.4 &lt;= 1, H91*1.4, 1)</f>
        <v>7.559999999999999E-3</v>
      </c>
      <c r="I95" s="1">
        <f>ROUND(I91*1.5,2)</f>
        <v>7.56</v>
      </c>
      <c r="J95" s="1">
        <f t="shared" si="42"/>
        <v>0</v>
      </c>
      <c r="K95" s="1">
        <v>0</v>
      </c>
      <c r="L95" s="1" t="str">
        <f t="shared" si="44"/>
        <v>Target</v>
      </c>
      <c r="M95" s="1" t="str">
        <f t="shared" si="41"/>
        <v>Enemy</v>
      </c>
      <c r="N95" s="1" t="s">
        <v>12</v>
      </c>
      <c r="O95" s="1" t="s">
        <v>12</v>
      </c>
      <c r="Q95" s="2">
        <f t="shared" si="39"/>
        <v>540.6</v>
      </c>
      <c r="R95" s="2">
        <f t="shared" si="40"/>
        <v>575.58000000000004</v>
      </c>
      <c r="T95" s="2">
        <f t="shared" si="38"/>
        <v>612.57000000000005</v>
      </c>
      <c r="U95" s="2">
        <f t="shared" si="38"/>
        <v>699.51</v>
      </c>
      <c r="W95" s="4">
        <f>Q95-$T$11</f>
        <v>-71.970000000000027</v>
      </c>
      <c r="X95" s="4">
        <f>R95-$U$11</f>
        <v>-123.92999999999995</v>
      </c>
    </row>
    <row r="96" spans="1:24" x14ac:dyDescent="0.3">
      <c r="A96" s="1">
        <f t="shared" si="43"/>
        <v>3305</v>
      </c>
      <c r="B96" s="1" t="str">
        <f>B88</f>
        <v>(함정) 도끼 타워</v>
      </c>
      <c r="C96" s="1">
        <v>1</v>
      </c>
      <c r="D96" s="1">
        <f>ROUND(D92*2.5,2)</f>
        <v>15</v>
      </c>
      <c r="E96" s="1">
        <f>ROUND(E92,2)</f>
        <v>2.1</v>
      </c>
      <c r="F96" s="1">
        <f>ROUND(F92*2.2,2)</f>
        <v>0.24</v>
      </c>
      <c r="G96" s="1" t="b">
        <v>0</v>
      </c>
      <c r="H96" s="1">
        <v>0</v>
      </c>
      <c r="I96" s="1">
        <v>0</v>
      </c>
      <c r="J96" s="1">
        <f t="shared" si="42"/>
        <v>30</v>
      </c>
      <c r="K96" s="1">
        <v>0</v>
      </c>
      <c r="L96" s="1" t="str">
        <f t="shared" si="44"/>
        <v>Trap</v>
      </c>
      <c r="M96" s="1" t="str">
        <f t="shared" si="41"/>
        <v>Enemy</v>
      </c>
      <c r="N96" s="1" t="s">
        <v>12</v>
      </c>
      <c r="O96" s="1" t="s">
        <v>12</v>
      </c>
      <c r="Q96" s="2">
        <f t="shared" si="39"/>
        <v>216</v>
      </c>
      <c r="R96" s="2">
        <f t="shared" si="40"/>
        <v>216</v>
      </c>
      <c r="T96" s="2">
        <f t="shared" si="38"/>
        <v>208.8</v>
      </c>
      <c r="U96" s="2">
        <f t="shared" si="38"/>
        <v>208.8</v>
      </c>
      <c r="W96" s="5">
        <f>Q96-$T$12</f>
        <v>7.1999999999999886</v>
      </c>
      <c r="X96" s="5">
        <f>R96-$U$12</f>
        <v>7.1999999999999886</v>
      </c>
    </row>
    <row r="97" spans="1:24" x14ac:dyDescent="0.3">
      <c r="A97" s="1">
        <f t="shared" si="43"/>
        <v>3405</v>
      </c>
      <c r="B97" s="1" t="str">
        <f>B89</f>
        <v>(버프) 도끼 타워</v>
      </c>
      <c r="C97" s="1">
        <v>1</v>
      </c>
      <c r="D97" s="1">
        <v>0</v>
      </c>
      <c r="E97" s="1">
        <f>E93+1</f>
        <v>2</v>
      </c>
      <c r="F97" s="1">
        <v>1</v>
      </c>
      <c r="G97" s="1" t="b">
        <v>0</v>
      </c>
      <c r="H97" s="1">
        <v>0</v>
      </c>
      <c r="I97" s="1">
        <v>0</v>
      </c>
      <c r="J97" s="1">
        <f t="shared" si="42"/>
        <v>1</v>
      </c>
      <c r="K97" s="1">
        <f>IF(L97="Buff",2,60)</f>
        <v>2</v>
      </c>
      <c r="L97" s="1" t="str">
        <f t="shared" si="44"/>
        <v>Buff</v>
      </c>
      <c r="M97" s="1" t="str">
        <f t="shared" si="41"/>
        <v>Tower</v>
      </c>
      <c r="N97" s="1" t="str">
        <f>N93</f>
        <v>CriticalDamage</v>
      </c>
      <c r="O97" s="1" t="str">
        <f>O93</f>
        <v>None</v>
      </c>
      <c r="Q97" s="2">
        <f t="shared" si="39"/>
        <v>0</v>
      </c>
      <c r="R97" s="2">
        <f t="shared" si="40"/>
        <v>0</v>
      </c>
      <c r="T97" s="2">
        <f t="shared" si="38"/>
        <v>22.5</v>
      </c>
      <c r="U97" s="2">
        <f t="shared" si="38"/>
        <v>22.5</v>
      </c>
      <c r="W97" s="6">
        <f>Q97-$T$13</f>
        <v>-22.5</v>
      </c>
      <c r="X97" s="6">
        <f>R97-$U$13</f>
        <v>-22.5</v>
      </c>
    </row>
    <row r="98" spans="1:24" x14ac:dyDescent="0.3">
      <c r="A98" s="1">
        <f t="shared" si="43"/>
        <v>4105</v>
      </c>
      <c r="B98" s="1" t="str">
        <f>B86</f>
        <v>(광역) 도끼 타워</v>
      </c>
      <c r="C98" s="1">
        <v>1</v>
      </c>
      <c r="D98" s="1">
        <f>ROUND(D94*3,2)</f>
        <v>26.13</v>
      </c>
      <c r="E98" s="1">
        <f>ROUND(E94*1.1,2)</f>
        <v>2.31</v>
      </c>
      <c r="F98" s="1">
        <f>ROUND(F94*2.5,2)</f>
        <v>2.1</v>
      </c>
      <c r="G98" s="1" t="b">
        <v>0</v>
      </c>
      <c r="H98" s="1">
        <f>IF(H94*1.6 &lt;= 1, H94*1.6, 1)</f>
        <v>6.7200000000000003E-3</v>
      </c>
      <c r="I98" s="1">
        <f>ROUND(I94*2,2)</f>
        <v>19.8</v>
      </c>
      <c r="J98" s="1">
        <f>ROUND(J86*3,2)</f>
        <v>1.5</v>
      </c>
      <c r="K98" s="1">
        <v>150</v>
      </c>
      <c r="L98" s="1" t="str">
        <f t="shared" si="44"/>
        <v>Splash</v>
      </c>
      <c r="M98" s="1" t="str">
        <f t="shared" si="41"/>
        <v>Enemy</v>
      </c>
      <c r="N98" s="1" t="s">
        <v>12</v>
      </c>
      <c r="O98" s="1" t="s">
        <v>12</v>
      </c>
      <c r="Q98" s="2">
        <f t="shared" si="39"/>
        <v>3292.38</v>
      </c>
      <c r="R98" s="2">
        <f t="shared" si="40"/>
        <v>3752.58</v>
      </c>
      <c r="T98" s="2">
        <f t="shared" si="38"/>
        <v>3601.59</v>
      </c>
      <c r="U98" s="2">
        <f t="shared" si="38"/>
        <v>4306.1000000000004</v>
      </c>
      <c r="W98" s="3">
        <f>Q98-$T$14</f>
        <v>-309.21000000000004</v>
      </c>
      <c r="X98" s="3">
        <f>R98-$U$14</f>
        <v>-553.52000000000044</v>
      </c>
    </row>
    <row r="99" spans="1:24" x14ac:dyDescent="0.3">
      <c r="A99" s="1">
        <f t="shared" si="43"/>
        <v>4205</v>
      </c>
      <c r="B99" s="1" t="str">
        <f>B87</f>
        <v>(단일) 도끼 타워</v>
      </c>
      <c r="C99" s="1">
        <v>1</v>
      </c>
      <c r="D99" s="1">
        <f>ROUND(D95*3,2)</f>
        <v>25.5</v>
      </c>
      <c r="E99" s="1">
        <f>ROUND(E95*1.1,2)</f>
        <v>2.31</v>
      </c>
      <c r="F99" s="1">
        <f>ROUND(F95*2.75,2)</f>
        <v>2.92</v>
      </c>
      <c r="G99" s="1" t="b">
        <v>0</v>
      </c>
      <c r="H99" s="1">
        <f>IF(H95*1.6 &lt;= 1, H95*1.6, 1)</f>
        <v>1.2095999999999999E-2</v>
      </c>
      <c r="I99" s="1">
        <f>ROUND(I95*2,2)</f>
        <v>15.12</v>
      </c>
      <c r="J99" s="1">
        <f t="shared" si="42"/>
        <v>0</v>
      </c>
      <c r="K99" s="1">
        <v>0</v>
      </c>
      <c r="L99" s="1" t="str">
        <f t="shared" si="44"/>
        <v>Target</v>
      </c>
      <c r="M99" s="1" t="str">
        <f t="shared" si="41"/>
        <v>Enemy</v>
      </c>
      <c r="N99" s="1" t="s">
        <v>12</v>
      </c>
      <c r="O99" s="1" t="s">
        <v>12</v>
      </c>
      <c r="Q99" s="2">
        <f t="shared" si="39"/>
        <v>4467.6000000000004</v>
      </c>
      <c r="R99" s="2">
        <f t="shared" si="40"/>
        <v>5338.73</v>
      </c>
      <c r="T99" s="2">
        <f t="shared" si="38"/>
        <v>5055.3500000000004</v>
      </c>
      <c r="U99" s="2">
        <f t="shared" si="38"/>
        <v>6489.95</v>
      </c>
      <c r="W99" s="4">
        <f>Q99-$T$15</f>
        <v>-587.75</v>
      </c>
      <c r="X99" s="4">
        <f>R99-$U$15</f>
        <v>-1151.2200000000003</v>
      </c>
    </row>
    <row r="100" spans="1:24" x14ac:dyDescent="0.3">
      <c r="A100" s="1">
        <f t="shared" si="43"/>
        <v>4305</v>
      </c>
      <c r="B100" s="1" t="str">
        <f>B88</f>
        <v>(함정) 도끼 타워</v>
      </c>
      <c r="C100" s="1">
        <v>1</v>
      </c>
      <c r="D100" s="1">
        <f>ROUND(D96*3,2)</f>
        <v>45</v>
      </c>
      <c r="E100" s="1">
        <f>ROUND(E96*1.1,2)</f>
        <v>2.31</v>
      </c>
      <c r="F100" s="1">
        <f>ROUND(F96*2.5,2)</f>
        <v>0.6</v>
      </c>
      <c r="G100" s="1" t="b">
        <v>0</v>
      </c>
      <c r="H100" s="1">
        <v>0</v>
      </c>
      <c r="I100" s="1">
        <v>0</v>
      </c>
      <c r="J100" s="1">
        <f t="shared" si="42"/>
        <v>30</v>
      </c>
      <c r="K100" s="1">
        <v>0</v>
      </c>
      <c r="L100" s="1" t="str">
        <f t="shared" si="44"/>
        <v>Trap</v>
      </c>
      <c r="M100" s="1" t="str">
        <f t="shared" si="41"/>
        <v>Enemy</v>
      </c>
      <c r="N100" s="1" t="s">
        <v>12</v>
      </c>
      <c r="O100" s="1" t="s">
        <v>12</v>
      </c>
      <c r="Q100" s="2">
        <f t="shared" si="39"/>
        <v>1620</v>
      </c>
      <c r="R100" s="2">
        <f t="shared" si="40"/>
        <v>1620</v>
      </c>
      <c r="T100" s="2">
        <f t="shared" si="38"/>
        <v>1570.5</v>
      </c>
      <c r="U100" s="2">
        <f t="shared" si="38"/>
        <v>1570.5</v>
      </c>
      <c r="W100" s="5">
        <f>Q100-$T$16</f>
        <v>49.5</v>
      </c>
      <c r="X100" s="5">
        <f>R100-$U$16</f>
        <v>49.5</v>
      </c>
    </row>
    <row r="101" spans="1:24" x14ac:dyDescent="0.3">
      <c r="A101" s="1">
        <f t="shared" si="43"/>
        <v>4405</v>
      </c>
      <c r="B101" s="1" t="str">
        <f>B89</f>
        <v>(버프) 도끼 타워</v>
      </c>
      <c r="C101" s="1">
        <v>1</v>
      </c>
      <c r="D101" s="1">
        <v>0</v>
      </c>
      <c r="E101" s="1">
        <f>E97+2</f>
        <v>4</v>
      </c>
      <c r="F101" s="1">
        <v>1</v>
      </c>
      <c r="G101" s="1" t="b">
        <v>0</v>
      </c>
      <c r="H101" s="1">
        <v>0</v>
      </c>
      <c r="I101" s="1">
        <v>0</v>
      </c>
      <c r="J101" s="1">
        <f t="shared" si="42"/>
        <v>1</v>
      </c>
      <c r="K101" s="1">
        <f>IF(L101="Buff",3,150)</f>
        <v>3</v>
      </c>
      <c r="L101" s="1" t="str">
        <f t="shared" si="44"/>
        <v>Buff</v>
      </c>
      <c r="M101" s="1" t="str">
        <f t="shared" si="41"/>
        <v>Tower</v>
      </c>
      <c r="N101" s="1" t="str">
        <f>N97</f>
        <v>CriticalDamage</v>
      </c>
      <c r="O101" s="1" t="str">
        <f>O97</f>
        <v>None</v>
      </c>
      <c r="Q101" s="2">
        <f t="shared" si="39"/>
        <v>0</v>
      </c>
      <c r="R101" s="2">
        <f t="shared" si="40"/>
        <v>0</v>
      </c>
      <c r="T101" s="2">
        <f t="shared" si="38"/>
        <v>37.5</v>
      </c>
      <c r="U101" s="2">
        <f t="shared" si="38"/>
        <v>37.5</v>
      </c>
      <c r="W101" s="6">
        <f>Q101-$T$17</f>
        <v>-37.5</v>
      </c>
      <c r="X101" s="6">
        <f>R101-$U$17</f>
        <v>-37.5</v>
      </c>
    </row>
    <row r="102" spans="1:24" x14ac:dyDescent="0.3">
      <c r="A102" s="1">
        <f t="shared" si="43"/>
        <v>5105</v>
      </c>
      <c r="B102" s="1" t="str">
        <f>B86</f>
        <v>(광역) 도끼 타워</v>
      </c>
      <c r="C102" s="1">
        <v>1</v>
      </c>
      <c r="D102" s="1">
        <f>ROUND(D98*4.2,2)</f>
        <v>109.75</v>
      </c>
      <c r="E102" s="1">
        <f>ROUND(E98*1.25,2)</f>
        <v>2.89</v>
      </c>
      <c r="F102" s="1">
        <f>ROUND(F98*3,2)</f>
        <v>6.3</v>
      </c>
      <c r="G102" s="1" t="b">
        <v>0</v>
      </c>
      <c r="H102" s="1">
        <f>IF(H98*1.8 &lt;= 1, H98*1.8, 1)</f>
        <v>1.2096000000000001E-2</v>
      </c>
      <c r="I102" s="1">
        <f>ROUND(I98*2.8,2)</f>
        <v>55.44</v>
      </c>
      <c r="J102" s="1">
        <f>ROUND(J86*5,2)</f>
        <v>2.5</v>
      </c>
      <c r="K102" s="1">
        <v>525</v>
      </c>
      <c r="L102" s="1" t="str">
        <f t="shared" si="44"/>
        <v>Splash</v>
      </c>
      <c r="M102" s="1" t="str">
        <f t="shared" si="41"/>
        <v>Enemy</v>
      </c>
      <c r="N102" s="1" t="s">
        <v>12</v>
      </c>
      <c r="O102" s="1" t="s">
        <v>12</v>
      </c>
      <c r="Q102" s="2">
        <f t="shared" si="39"/>
        <v>41485.5</v>
      </c>
      <c r="R102" s="2">
        <f t="shared" si="40"/>
        <v>69807.58</v>
      </c>
      <c r="T102" s="2">
        <f t="shared" si="38"/>
        <v>45381.34</v>
      </c>
      <c r="U102" s="2">
        <f t="shared" si="38"/>
        <v>69583.23</v>
      </c>
      <c r="W102" s="3">
        <f>Q102-$T$18</f>
        <v>-3895.8399999999965</v>
      </c>
      <c r="X102" s="3">
        <f>R102-$U$18</f>
        <v>224.35000000000582</v>
      </c>
    </row>
    <row r="103" spans="1:24" x14ac:dyDescent="0.3">
      <c r="A103" s="1">
        <f t="shared" si="43"/>
        <v>5205</v>
      </c>
      <c r="B103" s="1" t="str">
        <f>B87</f>
        <v>(단일) 도끼 타워</v>
      </c>
      <c r="C103" s="1">
        <v>1</v>
      </c>
      <c r="D103" s="1">
        <f>ROUND(D99*5,2)</f>
        <v>127.5</v>
      </c>
      <c r="E103" s="1">
        <f t="shared" ref="E103:E104" si="45">ROUND(E99*1.25,2)</f>
        <v>2.89</v>
      </c>
      <c r="F103" s="1">
        <f>ROUND(F99*4,2)</f>
        <v>11.68</v>
      </c>
      <c r="G103" s="1" t="b">
        <v>0</v>
      </c>
      <c r="H103" s="1">
        <f>IF(H99*1.8 &lt;= 1, H99*1.8, 1)</f>
        <v>2.1772799999999998E-2</v>
      </c>
      <c r="I103" s="1">
        <f>ROUND(I99*2.8,2)</f>
        <v>42.34</v>
      </c>
      <c r="J103" s="1">
        <f t="shared" si="42"/>
        <v>0</v>
      </c>
      <c r="K103" s="1">
        <v>0</v>
      </c>
      <c r="L103" s="1" t="str">
        <f t="shared" si="44"/>
        <v>Target</v>
      </c>
      <c r="M103" s="1" t="str">
        <f t="shared" si="41"/>
        <v>Enemy</v>
      </c>
      <c r="N103" s="1" t="s">
        <v>12</v>
      </c>
      <c r="O103" s="1" t="s">
        <v>12</v>
      </c>
      <c r="Q103" s="2">
        <f t="shared" si="39"/>
        <v>89352</v>
      </c>
      <c r="R103" s="2">
        <f t="shared" si="40"/>
        <v>173667.51</v>
      </c>
      <c r="T103" s="2">
        <f t="shared" si="38"/>
        <v>101106.9</v>
      </c>
      <c r="U103" s="2">
        <f t="shared" si="38"/>
        <v>189869.9</v>
      </c>
      <c r="W103" s="4">
        <f>Q103-$T$19</f>
        <v>-11754.899999999994</v>
      </c>
      <c r="X103" s="4">
        <f>R103-$U$19</f>
        <v>-16202.389999999985</v>
      </c>
    </row>
    <row r="104" spans="1:24" x14ac:dyDescent="0.3">
      <c r="A104" s="1">
        <f t="shared" si="43"/>
        <v>5305</v>
      </c>
      <c r="B104" s="1" t="str">
        <f>B88</f>
        <v>(함정) 도끼 타워</v>
      </c>
      <c r="C104" s="1">
        <v>1</v>
      </c>
      <c r="D104" s="1">
        <f>ROUND(D100*5,2)</f>
        <v>225</v>
      </c>
      <c r="E104" s="1">
        <f t="shared" si="45"/>
        <v>2.89</v>
      </c>
      <c r="F104" s="1">
        <f>ROUND(F100*3,2)</f>
        <v>1.8</v>
      </c>
      <c r="G104" s="1" t="b">
        <v>0</v>
      </c>
      <c r="H104" s="1">
        <v>0</v>
      </c>
      <c r="I104" s="1">
        <v>0</v>
      </c>
      <c r="J104" s="1">
        <f t="shared" si="42"/>
        <v>30</v>
      </c>
      <c r="K104" s="1">
        <v>0</v>
      </c>
      <c r="L104" s="1" t="str">
        <f t="shared" si="44"/>
        <v>Trap</v>
      </c>
      <c r="M104" s="1" t="str">
        <f t="shared" si="41"/>
        <v>Enemy</v>
      </c>
      <c r="N104" s="1" t="s">
        <v>12</v>
      </c>
      <c r="O104" s="1" t="s">
        <v>12</v>
      </c>
      <c r="Q104" s="2">
        <f t="shared" si="39"/>
        <v>24300</v>
      </c>
      <c r="R104" s="2">
        <f t="shared" si="40"/>
        <v>24300</v>
      </c>
      <c r="T104" s="2">
        <f t="shared" si="38"/>
        <v>23557.5</v>
      </c>
      <c r="U104" s="2">
        <f t="shared" si="38"/>
        <v>23557.5</v>
      </c>
      <c r="W104" s="5">
        <f>Q104-$T$20</f>
        <v>742.5</v>
      </c>
      <c r="X104" s="5">
        <f>R104-$U$20</f>
        <v>742.5</v>
      </c>
    </row>
    <row r="105" spans="1:24" x14ac:dyDescent="0.3">
      <c r="A105" s="1">
        <f t="shared" si="43"/>
        <v>5405</v>
      </c>
      <c r="B105" s="1" t="str">
        <f>B89</f>
        <v>(버프) 도끼 타워</v>
      </c>
      <c r="C105" s="1">
        <v>1</v>
      </c>
      <c r="D105" s="1">
        <v>0</v>
      </c>
      <c r="E105" s="1">
        <f>E101+3</f>
        <v>7</v>
      </c>
      <c r="F105" s="1">
        <v>1</v>
      </c>
      <c r="G105" s="1" t="b">
        <v>0</v>
      </c>
      <c r="H105" s="1">
        <v>0</v>
      </c>
      <c r="I105" s="1">
        <v>0</v>
      </c>
      <c r="J105" s="1">
        <f t="shared" si="42"/>
        <v>1</v>
      </c>
      <c r="K105" s="1">
        <f>IF(L105="Buff",5,525)</f>
        <v>5</v>
      </c>
      <c r="L105" s="1" t="str">
        <f t="shared" si="44"/>
        <v>Buff</v>
      </c>
      <c r="M105" s="1" t="str">
        <f t="shared" si="41"/>
        <v>Tower</v>
      </c>
      <c r="N105" s="1" t="str">
        <f>N101</f>
        <v>CriticalDamage</v>
      </c>
      <c r="O105" s="1" t="str">
        <f>O101</f>
        <v>None</v>
      </c>
      <c r="Q105" s="2">
        <f t="shared" si="39"/>
        <v>0</v>
      </c>
      <c r="R105" s="2">
        <f t="shared" si="40"/>
        <v>0</v>
      </c>
      <c r="T105" s="2">
        <f t="shared" si="38"/>
        <v>75</v>
      </c>
      <c r="U105" s="2">
        <f t="shared" si="38"/>
        <v>75</v>
      </c>
      <c r="W105" s="6">
        <f>Q105-$T$21</f>
        <v>-75</v>
      </c>
      <c r="X105" s="6">
        <f>R105-$U$21</f>
        <v>-75</v>
      </c>
    </row>
    <row r="106" spans="1:24" x14ac:dyDescent="0.3">
      <c r="W106" s="6"/>
      <c r="X106" s="6"/>
    </row>
    <row r="107" spans="1:24" x14ac:dyDescent="0.3">
      <c r="A107" s="1">
        <v>1106</v>
      </c>
      <c r="B107" s="1" t="s">
        <v>56</v>
      </c>
      <c r="C107" s="1">
        <v>1</v>
      </c>
      <c r="D107" s="1">
        <v>4.0999999999999996</v>
      </c>
      <c r="E107" s="1">
        <v>2.5</v>
      </c>
      <c r="F107" s="1">
        <v>0.12</v>
      </c>
      <c r="G107" s="1" t="b">
        <v>0</v>
      </c>
      <c r="H107" s="1">
        <v>0.01</v>
      </c>
      <c r="I107" s="1">
        <v>2.8000000000000001E-2</v>
      </c>
      <c r="J107" s="1">
        <v>0.5</v>
      </c>
      <c r="K107" s="1">
        <v>10</v>
      </c>
      <c r="L107" s="1" t="s">
        <v>3</v>
      </c>
      <c r="M107" s="1" t="str">
        <f t="shared" ref="M107:M109" si="46">IF(L107="Buff","Tower","Enemy")</f>
        <v>Enemy</v>
      </c>
      <c r="N107" s="1" t="s">
        <v>12</v>
      </c>
      <c r="O107" s="1" t="s">
        <v>27</v>
      </c>
      <c r="Q107" s="2">
        <f>ROUND(60*(D107*F107),2)</f>
        <v>29.52</v>
      </c>
      <c r="R107" s="2">
        <f>ROUND((Q107*H107*(2+I107))+Q107*(1-H107),2)</f>
        <v>29.82</v>
      </c>
      <c r="T107" s="2">
        <f t="shared" ref="T107:U126" si="47">T2</f>
        <v>25.54</v>
      </c>
      <c r="U107" s="2">
        <f t="shared" si="47"/>
        <v>27.01</v>
      </c>
      <c r="W107" s="3">
        <f>Q107-$T$2</f>
        <v>3.9800000000000004</v>
      </c>
      <c r="X107" s="3">
        <f>R107-$U$2</f>
        <v>2.8099999999999987</v>
      </c>
    </row>
    <row r="108" spans="1:24" x14ac:dyDescent="0.3">
      <c r="A108" s="1">
        <f>A107+100</f>
        <v>1206</v>
      </c>
      <c r="B108" s="1" t="s">
        <v>57</v>
      </c>
      <c r="C108" s="1">
        <v>1</v>
      </c>
      <c r="D108" s="1">
        <v>3.4</v>
      </c>
      <c r="E108" s="1">
        <v>2.5</v>
      </c>
      <c r="F108" s="1">
        <v>0.18</v>
      </c>
      <c r="G108" s="1" t="b">
        <v>0</v>
      </c>
      <c r="H108" s="1">
        <v>0.02</v>
      </c>
      <c r="I108" s="1">
        <v>1.9E-2</v>
      </c>
      <c r="J108" s="1">
        <v>0</v>
      </c>
      <c r="K108" s="1">
        <v>0</v>
      </c>
      <c r="L108" s="1" t="s">
        <v>4</v>
      </c>
      <c r="M108" s="1" t="str">
        <f t="shared" si="46"/>
        <v>Enemy</v>
      </c>
      <c r="N108" s="1" t="s">
        <v>12</v>
      </c>
      <c r="O108" s="1" t="s">
        <v>12</v>
      </c>
      <c r="Q108" s="2">
        <f t="shared" ref="Q108:Q126" si="48">ROUND(60*(D108*F108),2)</f>
        <v>36.72</v>
      </c>
      <c r="R108" s="2">
        <f t="shared" ref="R108:R126" si="49">ROUND((Q108*H108*(2+I108))+Q108*(1-H108),2)</f>
        <v>37.47</v>
      </c>
      <c r="T108" s="2">
        <f t="shared" si="47"/>
        <v>33.96</v>
      </c>
      <c r="U108" s="2">
        <f t="shared" si="47"/>
        <v>36.51</v>
      </c>
      <c r="W108" s="4">
        <f>Q108-$T$3</f>
        <v>2.759999999999998</v>
      </c>
      <c r="X108" s="4">
        <f>R108-$U$3</f>
        <v>0.96000000000000085</v>
      </c>
    </row>
    <row r="109" spans="1:24" x14ac:dyDescent="0.3">
      <c r="A109" s="1">
        <f>A107+200</f>
        <v>1306</v>
      </c>
      <c r="B109" s="1" t="s">
        <v>58</v>
      </c>
      <c r="C109" s="1">
        <v>1</v>
      </c>
      <c r="D109" s="1">
        <v>3.2</v>
      </c>
      <c r="E109" s="1">
        <v>2.5</v>
      </c>
      <c r="F109" s="1">
        <v>0.05</v>
      </c>
      <c r="G109" s="1" t="b">
        <v>0</v>
      </c>
      <c r="H109" s="1">
        <v>0</v>
      </c>
      <c r="I109" s="1">
        <v>0</v>
      </c>
      <c r="J109" s="1">
        <v>30</v>
      </c>
      <c r="K109" s="1">
        <v>0</v>
      </c>
      <c r="L109" s="1" t="s">
        <v>5</v>
      </c>
      <c r="M109" s="1" t="str">
        <f t="shared" si="46"/>
        <v>Enemy</v>
      </c>
      <c r="N109" s="1" t="s">
        <v>12</v>
      </c>
      <c r="O109" s="1" t="s">
        <v>12</v>
      </c>
      <c r="Q109" s="2">
        <f t="shared" si="48"/>
        <v>9.6</v>
      </c>
      <c r="R109" s="2">
        <f t="shared" si="49"/>
        <v>9.6</v>
      </c>
      <c r="T109" s="2">
        <f t="shared" si="47"/>
        <v>9.08</v>
      </c>
      <c r="U109" s="2">
        <f t="shared" si="47"/>
        <v>9.08</v>
      </c>
      <c r="W109" s="5">
        <f>Q109-$T$4</f>
        <v>0.51999999999999957</v>
      </c>
      <c r="X109" s="5">
        <f>R109-$U$4</f>
        <v>0.51999999999999957</v>
      </c>
    </row>
    <row r="110" spans="1:24" x14ac:dyDescent="0.3">
      <c r="A110" s="1">
        <f>A107+300</f>
        <v>1406</v>
      </c>
      <c r="B110" s="1" t="s">
        <v>59</v>
      </c>
      <c r="C110" s="1">
        <v>1</v>
      </c>
      <c r="D110" s="1">
        <v>0</v>
      </c>
      <c r="E110" s="1">
        <v>1</v>
      </c>
      <c r="F110" s="1">
        <v>1</v>
      </c>
      <c r="G110" s="1" t="b">
        <v>0</v>
      </c>
      <c r="H110" s="1">
        <v>0</v>
      </c>
      <c r="I110" s="1">
        <v>0</v>
      </c>
      <c r="J110" s="1">
        <v>1</v>
      </c>
      <c r="K110" s="1">
        <v>10</v>
      </c>
      <c r="L110" s="1" t="s">
        <v>6</v>
      </c>
      <c r="M110" s="1" t="str">
        <f>IF(L110="Buff","Tower","Enemy")</f>
        <v>Tower</v>
      </c>
      <c r="N110" s="1" t="s">
        <v>27</v>
      </c>
      <c r="O110" s="1" t="s">
        <v>12</v>
      </c>
      <c r="Q110" s="2">
        <f t="shared" si="48"/>
        <v>0</v>
      </c>
      <c r="R110" s="2">
        <f t="shared" si="49"/>
        <v>0</v>
      </c>
      <c r="T110" s="2">
        <f t="shared" si="47"/>
        <v>7.5</v>
      </c>
      <c r="U110" s="2">
        <f t="shared" si="47"/>
        <v>7.5</v>
      </c>
      <c r="W110" s="6">
        <f>Q110-$T$5</f>
        <v>-7.5</v>
      </c>
      <c r="X110" s="6">
        <f>R110-$U$5</f>
        <v>-7.5</v>
      </c>
    </row>
    <row r="111" spans="1:24" x14ac:dyDescent="0.3">
      <c r="A111" s="1">
        <f>A107+1000</f>
        <v>2106</v>
      </c>
      <c r="B111" s="1" t="str">
        <f>B107</f>
        <v>(광역) 불 타워</v>
      </c>
      <c r="C111" s="1">
        <v>1</v>
      </c>
      <c r="D111" s="1">
        <f>ROUND(D107*1.8,2)</f>
        <v>7.38</v>
      </c>
      <c r="E111" s="1">
        <f>ROUND(E107,2)</f>
        <v>2.5</v>
      </c>
      <c r="F111" s="1">
        <f>ROUND(F107*2.1,2)</f>
        <v>0.25</v>
      </c>
      <c r="G111" s="1" t="b">
        <v>0</v>
      </c>
      <c r="H111" s="1">
        <f>IF(H107*1.2 &lt;= 1, H107*1.2, 1)</f>
        <v>1.2E-2</v>
      </c>
      <c r="I111" s="1">
        <f>ROUND(I107*1.2,2)</f>
        <v>0.03</v>
      </c>
      <c r="J111" s="1">
        <f>ROUND(J107*1.5,2)</f>
        <v>0.75</v>
      </c>
      <c r="K111" s="1">
        <v>50</v>
      </c>
      <c r="L111" s="1" t="str">
        <f>L107</f>
        <v>Splash</v>
      </c>
      <c r="M111" s="1" t="str">
        <f t="shared" ref="M111:M126" si="50">IF(L111="Buff","Tower","Enemy")</f>
        <v>Enemy</v>
      </c>
      <c r="N111" s="1" t="s">
        <v>12</v>
      </c>
      <c r="O111" s="1" t="str">
        <f>O107</f>
        <v>DotDamage</v>
      </c>
      <c r="Q111" s="2">
        <f t="shared" si="48"/>
        <v>110.7</v>
      </c>
      <c r="R111" s="2">
        <f t="shared" si="49"/>
        <v>112.07</v>
      </c>
      <c r="T111" s="2">
        <f t="shared" si="47"/>
        <v>96.69</v>
      </c>
      <c r="U111" s="2">
        <f t="shared" si="47"/>
        <v>103.51</v>
      </c>
      <c r="W111" s="3">
        <f>Q111-$T$6</f>
        <v>14.010000000000005</v>
      </c>
      <c r="X111" s="3">
        <f>R111-$U$6</f>
        <v>8.5599999999999881</v>
      </c>
    </row>
    <row r="112" spans="1:24" x14ac:dyDescent="0.3">
      <c r="A112" s="1">
        <f>A108+1000</f>
        <v>2206</v>
      </c>
      <c r="B112" s="1" t="str">
        <f>B108</f>
        <v>(단일) 불 타워</v>
      </c>
      <c r="C112" s="1">
        <v>1</v>
      </c>
      <c r="D112" s="1">
        <f>ROUND(D108*1.7,2)</f>
        <v>5.78</v>
      </c>
      <c r="E112" s="1">
        <f>ROUND(E108,2)</f>
        <v>2.5</v>
      </c>
      <c r="F112" s="1">
        <f>ROUND(F108*2.2,2)</f>
        <v>0.4</v>
      </c>
      <c r="G112" s="1" t="b">
        <v>0</v>
      </c>
      <c r="H112" s="1">
        <f>IF(H108*1.2 &lt;= 1, H108*1.2, 1)</f>
        <v>2.4E-2</v>
      </c>
      <c r="I112" s="1">
        <f>ROUND(I108*1.2,2)</f>
        <v>0.02</v>
      </c>
      <c r="J112" s="1">
        <f t="shared" ref="J112:J126" si="51">J108</f>
        <v>0</v>
      </c>
      <c r="K112" s="1">
        <v>0</v>
      </c>
      <c r="L112" s="1" t="str">
        <f>L108</f>
        <v>Target</v>
      </c>
      <c r="M112" s="1" t="str">
        <f t="shared" si="50"/>
        <v>Enemy</v>
      </c>
      <c r="N112" s="1" t="s">
        <v>12</v>
      </c>
      <c r="O112" s="1" t="s">
        <v>12</v>
      </c>
      <c r="Q112" s="2">
        <f t="shared" si="48"/>
        <v>138.72</v>
      </c>
      <c r="R112" s="2">
        <f t="shared" si="49"/>
        <v>142.12</v>
      </c>
      <c r="T112" s="2">
        <f t="shared" si="47"/>
        <v>127.57</v>
      </c>
      <c r="U112" s="2">
        <f t="shared" si="47"/>
        <v>139.41</v>
      </c>
      <c r="W112" s="4">
        <f>Q112-$T$7</f>
        <v>11.150000000000006</v>
      </c>
      <c r="X112" s="4">
        <f>R112-$U$7</f>
        <v>2.710000000000008</v>
      </c>
    </row>
    <row r="113" spans="1:24" x14ac:dyDescent="0.3">
      <c r="A113" s="1">
        <f t="shared" ref="A113:A126" si="52">A109+1000</f>
        <v>2306</v>
      </c>
      <c r="B113" s="1" t="str">
        <f>B109</f>
        <v>(함정) 불 타워</v>
      </c>
      <c r="C113" s="1">
        <v>1</v>
      </c>
      <c r="D113" s="1">
        <f>ROUND(D109*2,2)</f>
        <v>6.4</v>
      </c>
      <c r="E113" s="1">
        <f>ROUND(E109,2)</f>
        <v>2.5</v>
      </c>
      <c r="F113" s="1">
        <f>ROUND(F109*2.1,2)</f>
        <v>0.11</v>
      </c>
      <c r="G113" s="1" t="b">
        <v>0</v>
      </c>
      <c r="H113" s="1">
        <v>0</v>
      </c>
      <c r="I113" s="1">
        <v>0</v>
      </c>
      <c r="J113" s="1">
        <f t="shared" si="51"/>
        <v>30</v>
      </c>
      <c r="K113" s="1">
        <v>0</v>
      </c>
      <c r="L113" s="1" t="str">
        <f>L109</f>
        <v>Trap</v>
      </c>
      <c r="M113" s="1" t="str">
        <f t="shared" si="50"/>
        <v>Enemy</v>
      </c>
      <c r="N113" s="1" t="s">
        <v>12</v>
      </c>
      <c r="O113" s="1" t="s">
        <v>12</v>
      </c>
      <c r="Q113" s="2">
        <f t="shared" si="48"/>
        <v>42.24</v>
      </c>
      <c r="R113" s="2">
        <f t="shared" si="49"/>
        <v>42.24</v>
      </c>
      <c r="T113" s="2">
        <f t="shared" si="47"/>
        <v>38.28</v>
      </c>
      <c r="U113" s="2">
        <f t="shared" si="47"/>
        <v>38.28</v>
      </c>
      <c r="W113" s="5">
        <f>Q113-$T$8</f>
        <v>3.9600000000000009</v>
      </c>
      <c r="X113" s="5">
        <f>R113-$U$8</f>
        <v>3.9600000000000009</v>
      </c>
    </row>
    <row r="114" spans="1:24" x14ac:dyDescent="0.3">
      <c r="A114" s="1">
        <f t="shared" si="52"/>
        <v>2406</v>
      </c>
      <c r="B114" s="1" t="str">
        <f>B110</f>
        <v>(버프) 불 타워</v>
      </c>
      <c r="C114" s="1">
        <v>1</v>
      </c>
      <c r="D114" s="1">
        <v>0</v>
      </c>
      <c r="E114" s="1">
        <f>E110+0</f>
        <v>1</v>
      </c>
      <c r="F114" s="1">
        <v>1</v>
      </c>
      <c r="G114" s="1" t="b">
        <v>0</v>
      </c>
      <c r="H114" s="1">
        <v>0</v>
      </c>
      <c r="I114" s="1">
        <v>0</v>
      </c>
      <c r="J114" s="1">
        <f t="shared" si="51"/>
        <v>1</v>
      </c>
      <c r="K114" s="1">
        <v>50</v>
      </c>
      <c r="L114" s="1" t="str">
        <f>L110</f>
        <v>Buff</v>
      </c>
      <c r="M114" s="1" t="str">
        <f t="shared" si="50"/>
        <v>Tower</v>
      </c>
      <c r="N114" s="1" t="str">
        <f>N110</f>
        <v>DotDamage</v>
      </c>
      <c r="O114" s="1" t="str">
        <f>O110</f>
        <v>None</v>
      </c>
      <c r="Q114" s="2">
        <f t="shared" si="48"/>
        <v>0</v>
      </c>
      <c r="R114" s="2">
        <f t="shared" si="49"/>
        <v>0</v>
      </c>
      <c r="T114" s="2">
        <f t="shared" si="47"/>
        <v>15</v>
      </c>
      <c r="U114" s="2">
        <f t="shared" si="47"/>
        <v>15</v>
      </c>
      <c r="W114" s="6">
        <f>Q114-$T$9</f>
        <v>-15</v>
      </c>
      <c r="X114" s="6">
        <f>R114-$U$9</f>
        <v>-15</v>
      </c>
    </row>
    <row r="115" spans="1:24" x14ac:dyDescent="0.3">
      <c r="A115" s="1">
        <f t="shared" si="52"/>
        <v>3106</v>
      </c>
      <c r="B115" s="1" t="str">
        <f>B107</f>
        <v>(광역) 불 타워</v>
      </c>
      <c r="C115" s="1">
        <v>1</v>
      </c>
      <c r="D115" s="1">
        <f>ROUND(D111*2.25,2)</f>
        <v>16.61</v>
      </c>
      <c r="E115" s="1">
        <f>ROUND(E111,2)</f>
        <v>2.5</v>
      </c>
      <c r="F115" s="1">
        <f>ROUND(F111*2.2,2)</f>
        <v>0.55000000000000004</v>
      </c>
      <c r="G115" s="1" t="b">
        <v>0</v>
      </c>
      <c r="H115" s="1">
        <f>IF(H111*1.4 &lt;= 1, H111*1.4, 1)</f>
        <v>1.6799999999999999E-2</v>
      </c>
      <c r="I115" s="1">
        <f>ROUND(I111*1.5,2)</f>
        <v>0.05</v>
      </c>
      <c r="J115" s="1">
        <f>ROUND(J107*2,2)</f>
        <v>1</v>
      </c>
      <c r="K115" s="1">
        <v>120</v>
      </c>
      <c r="L115" s="1" t="str">
        <f t="shared" ref="L115:L126" si="53">L111</f>
        <v>Splash</v>
      </c>
      <c r="M115" s="1" t="str">
        <f t="shared" si="50"/>
        <v>Enemy</v>
      </c>
      <c r="N115" s="1" t="s">
        <v>12</v>
      </c>
      <c r="O115" s="1" t="str">
        <f>O107</f>
        <v>DotDamage</v>
      </c>
      <c r="Q115" s="2">
        <f t="shared" si="48"/>
        <v>548.13</v>
      </c>
      <c r="R115" s="2">
        <f t="shared" si="49"/>
        <v>557.79999999999995</v>
      </c>
      <c r="T115" s="2">
        <f t="shared" si="47"/>
        <v>479.72</v>
      </c>
      <c r="U115" s="2">
        <f t="shared" si="47"/>
        <v>530</v>
      </c>
      <c r="W115" s="3">
        <f>Q115-$T$10</f>
        <v>68.409999999999968</v>
      </c>
      <c r="X115" s="3">
        <f>R115-$U$10</f>
        <v>27.799999999999955</v>
      </c>
    </row>
    <row r="116" spans="1:24" x14ac:dyDescent="0.3">
      <c r="A116" s="1">
        <f t="shared" si="52"/>
        <v>3206</v>
      </c>
      <c r="B116" s="1" t="str">
        <f>B108</f>
        <v>(단일) 불 타워</v>
      </c>
      <c r="C116" s="1">
        <v>1</v>
      </c>
      <c r="D116" s="1">
        <f>ROUND(D112*2,2)</f>
        <v>11.56</v>
      </c>
      <c r="E116" s="1">
        <f>ROUND(E112,2)</f>
        <v>2.5</v>
      </c>
      <c r="F116" s="1">
        <f>ROUND(F112*2.4,2)</f>
        <v>0.96</v>
      </c>
      <c r="G116" s="1" t="b">
        <v>0</v>
      </c>
      <c r="H116" s="1">
        <f>IF(H112*1.4 &lt;= 1, H112*1.4, 1)</f>
        <v>3.3599999999999998E-2</v>
      </c>
      <c r="I116" s="1">
        <f>ROUND(I112*1.5,2)</f>
        <v>0.03</v>
      </c>
      <c r="J116" s="1">
        <f t="shared" si="51"/>
        <v>0</v>
      </c>
      <c r="K116" s="1">
        <v>0</v>
      </c>
      <c r="L116" s="1" t="str">
        <f t="shared" si="53"/>
        <v>Target</v>
      </c>
      <c r="M116" s="1" t="str">
        <f t="shared" si="50"/>
        <v>Enemy</v>
      </c>
      <c r="N116" s="1" t="s">
        <v>12</v>
      </c>
      <c r="O116" s="1" t="s">
        <v>12</v>
      </c>
      <c r="Q116" s="2">
        <f t="shared" si="48"/>
        <v>665.86</v>
      </c>
      <c r="R116" s="2">
        <f t="shared" si="49"/>
        <v>688.9</v>
      </c>
      <c r="T116" s="2">
        <f t="shared" si="47"/>
        <v>612.57000000000005</v>
      </c>
      <c r="U116" s="2">
        <f t="shared" si="47"/>
        <v>699.51</v>
      </c>
      <c r="W116" s="4">
        <f>Q116-$T$11</f>
        <v>53.289999999999964</v>
      </c>
      <c r="X116" s="4">
        <f>R116-$U$11</f>
        <v>-10.610000000000014</v>
      </c>
    </row>
    <row r="117" spans="1:24" x14ac:dyDescent="0.3">
      <c r="A117" s="1">
        <f t="shared" si="52"/>
        <v>3306</v>
      </c>
      <c r="B117" s="1" t="str">
        <f>B109</f>
        <v>(함정) 불 타워</v>
      </c>
      <c r="C117" s="1">
        <v>1</v>
      </c>
      <c r="D117" s="1">
        <f>ROUND(D113*2.5,2)</f>
        <v>16</v>
      </c>
      <c r="E117" s="1">
        <f>ROUND(E113,2)</f>
        <v>2.5</v>
      </c>
      <c r="F117" s="1">
        <f>ROUND(F113*2.2,2)</f>
        <v>0.24</v>
      </c>
      <c r="G117" s="1" t="b">
        <v>0</v>
      </c>
      <c r="H117" s="1">
        <v>0</v>
      </c>
      <c r="I117" s="1">
        <v>0</v>
      </c>
      <c r="J117" s="1">
        <f t="shared" si="51"/>
        <v>30</v>
      </c>
      <c r="K117" s="1">
        <v>0</v>
      </c>
      <c r="L117" s="1" t="str">
        <f t="shared" si="53"/>
        <v>Trap</v>
      </c>
      <c r="M117" s="1" t="str">
        <f t="shared" si="50"/>
        <v>Enemy</v>
      </c>
      <c r="N117" s="1" t="s">
        <v>12</v>
      </c>
      <c r="O117" s="1" t="s">
        <v>12</v>
      </c>
      <c r="Q117" s="2">
        <f t="shared" si="48"/>
        <v>230.4</v>
      </c>
      <c r="R117" s="2">
        <f t="shared" si="49"/>
        <v>230.4</v>
      </c>
      <c r="T117" s="2">
        <f t="shared" si="47"/>
        <v>208.8</v>
      </c>
      <c r="U117" s="2">
        <f t="shared" si="47"/>
        <v>208.8</v>
      </c>
      <c r="W117" s="5">
        <f>Q117-$T$12</f>
        <v>21.599999999999994</v>
      </c>
      <c r="X117" s="5">
        <f>R117-$U$12</f>
        <v>21.599999999999994</v>
      </c>
    </row>
    <row r="118" spans="1:24" x14ac:dyDescent="0.3">
      <c r="A118" s="1">
        <f t="shared" si="52"/>
        <v>3406</v>
      </c>
      <c r="B118" s="1" t="str">
        <f>B110</f>
        <v>(버프) 불 타워</v>
      </c>
      <c r="C118" s="1">
        <v>1</v>
      </c>
      <c r="D118" s="1">
        <v>0</v>
      </c>
      <c r="E118" s="1">
        <f>E114+1</f>
        <v>2</v>
      </c>
      <c r="F118" s="1">
        <v>1</v>
      </c>
      <c r="G118" s="1" t="b">
        <v>0</v>
      </c>
      <c r="H118" s="1">
        <v>0</v>
      </c>
      <c r="I118" s="1">
        <v>0</v>
      </c>
      <c r="J118" s="1">
        <f t="shared" si="51"/>
        <v>1</v>
      </c>
      <c r="K118" s="1">
        <v>120</v>
      </c>
      <c r="L118" s="1" t="str">
        <f t="shared" si="53"/>
        <v>Buff</v>
      </c>
      <c r="M118" s="1" t="str">
        <f t="shared" si="50"/>
        <v>Tower</v>
      </c>
      <c r="N118" s="1" t="str">
        <f>N114</f>
        <v>DotDamage</v>
      </c>
      <c r="O118" s="1" t="str">
        <f>O114</f>
        <v>None</v>
      </c>
      <c r="Q118" s="2">
        <f t="shared" si="48"/>
        <v>0</v>
      </c>
      <c r="R118" s="2">
        <f t="shared" si="49"/>
        <v>0</v>
      </c>
      <c r="T118" s="2">
        <f t="shared" si="47"/>
        <v>22.5</v>
      </c>
      <c r="U118" s="2">
        <f t="shared" si="47"/>
        <v>22.5</v>
      </c>
      <c r="W118" s="6">
        <f>Q118-$T$13</f>
        <v>-22.5</v>
      </c>
      <c r="X118" s="6">
        <f>R118-$U$13</f>
        <v>-22.5</v>
      </c>
    </row>
    <row r="119" spans="1:24" x14ac:dyDescent="0.3">
      <c r="A119" s="1">
        <f t="shared" si="52"/>
        <v>4106</v>
      </c>
      <c r="B119" s="1" t="str">
        <f>B107</f>
        <v>(광역) 불 타워</v>
      </c>
      <c r="C119" s="1">
        <v>1</v>
      </c>
      <c r="D119" s="1">
        <f>ROUND(D115*3,2)</f>
        <v>49.83</v>
      </c>
      <c r="E119" s="1">
        <f>ROUND(E115*1.1,2)</f>
        <v>2.75</v>
      </c>
      <c r="F119" s="1">
        <f>ROUND(F115*2.5,2)</f>
        <v>1.38</v>
      </c>
      <c r="G119" s="1" t="b">
        <v>0</v>
      </c>
      <c r="H119" s="1">
        <f>IF(H115*1.6 &lt;= 1, H115*1.6, 1)</f>
        <v>2.6880000000000001E-2</v>
      </c>
      <c r="I119" s="1">
        <f>ROUND(I115*2,2)</f>
        <v>0.1</v>
      </c>
      <c r="J119" s="1">
        <f>ROUND(J107*3,2)</f>
        <v>1.5</v>
      </c>
      <c r="K119" s="1">
        <v>500</v>
      </c>
      <c r="L119" s="1" t="str">
        <f t="shared" si="53"/>
        <v>Splash</v>
      </c>
      <c r="M119" s="1" t="str">
        <f t="shared" si="50"/>
        <v>Enemy</v>
      </c>
      <c r="N119" s="1" t="s">
        <v>12</v>
      </c>
      <c r="O119" s="1" t="str">
        <f>O107</f>
        <v>DotDamage</v>
      </c>
      <c r="Q119" s="2">
        <f t="shared" si="48"/>
        <v>4125.92</v>
      </c>
      <c r="R119" s="2">
        <f t="shared" si="49"/>
        <v>4247.92</v>
      </c>
      <c r="T119" s="2">
        <f t="shared" si="47"/>
        <v>3601.59</v>
      </c>
      <c r="U119" s="2">
        <f t="shared" si="47"/>
        <v>4306.1000000000004</v>
      </c>
      <c r="W119" s="3">
        <f>Q119-$T$14</f>
        <v>524.32999999999993</v>
      </c>
      <c r="X119" s="3">
        <f>R119-$U$14</f>
        <v>-58.180000000000291</v>
      </c>
    </row>
    <row r="120" spans="1:24" x14ac:dyDescent="0.3">
      <c r="A120" s="1">
        <f t="shared" si="52"/>
        <v>4206</v>
      </c>
      <c r="B120" s="1" t="str">
        <f>B108</f>
        <v>(단일) 불 타워</v>
      </c>
      <c r="C120" s="1">
        <v>1</v>
      </c>
      <c r="D120" s="1">
        <f>ROUND(D116*3,2)</f>
        <v>34.68</v>
      </c>
      <c r="E120" s="1">
        <f>ROUND(E116*1.1,2)</f>
        <v>2.75</v>
      </c>
      <c r="F120" s="1">
        <f>ROUND(F116*2.75,2)</f>
        <v>2.64</v>
      </c>
      <c r="G120" s="1" t="b">
        <v>0</v>
      </c>
      <c r="H120" s="1">
        <f>IF(H116*1.6 &lt;= 1, H116*1.6, 1)</f>
        <v>5.3760000000000002E-2</v>
      </c>
      <c r="I120" s="1">
        <f>ROUND(I116*2,2)</f>
        <v>0.06</v>
      </c>
      <c r="J120" s="1">
        <f t="shared" si="51"/>
        <v>0</v>
      </c>
      <c r="K120" s="1">
        <v>0</v>
      </c>
      <c r="L120" s="1" t="str">
        <f t="shared" si="53"/>
        <v>Target</v>
      </c>
      <c r="M120" s="1" t="str">
        <f t="shared" si="50"/>
        <v>Enemy</v>
      </c>
      <c r="N120" s="1" t="s">
        <v>12</v>
      </c>
      <c r="O120" s="1" t="s">
        <v>12</v>
      </c>
      <c r="Q120" s="2">
        <f t="shared" si="48"/>
        <v>5493.31</v>
      </c>
      <c r="R120" s="2">
        <f t="shared" si="49"/>
        <v>5806.35</v>
      </c>
      <c r="T120" s="2">
        <f t="shared" si="47"/>
        <v>5055.3500000000004</v>
      </c>
      <c r="U120" s="2">
        <f t="shared" si="47"/>
        <v>6489.95</v>
      </c>
      <c r="W120" s="4">
        <f>Q120-$T$15</f>
        <v>437.96000000000004</v>
      </c>
      <c r="X120" s="4">
        <f>R120-$U$15</f>
        <v>-683.59999999999945</v>
      </c>
    </row>
    <row r="121" spans="1:24" x14ac:dyDescent="0.3">
      <c r="A121" s="1">
        <f t="shared" si="52"/>
        <v>4306</v>
      </c>
      <c r="B121" s="1" t="str">
        <f>B109</f>
        <v>(함정) 불 타워</v>
      </c>
      <c r="C121" s="1">
        <v>1</v>
      </c>
      <c r="D121" s="1">
        <f>ROUND(D117*3,2)</f>
        <v>48</v>
      </c>
      <c r="E121" s="1">
        <f>ROUND(E117*1.1,2)</f>
        <v>2.75</v>
      </c>
      <c r="F121" s="1">
        <f>ROUND(F117*2.5,2)</f>
        <v>0.6</v>
      </c>
      <c r="G121" s="1" t="b">
        <v>0</v>
      </c>
      <c r="H121" s="1">
        <v>0</v>
      </c>
      <c r="I121" s="1">
        <v>0</v>
      </c>
      <c r="J121" s="1">
        <f t="shared" si="51"/>
        <v>30</v>
      </c>
      <c r="K121" s="1">
        <v>0</v>
      </c>
      <c r="L121" s="1" t="str">
        <f t="shared" si="53"/>
        <v>Trap</v>
      </c>
      <c r="M121" s="1" t="str">
        <f t="shared" si="50"/>
        <v>Enemy</v>
      </c>
      <c r="N121" s="1" t="s">
        <v>12</v>
      </c>
      <c r="O121" s="1" t="s">
        <v>12</v>
      </c>
      <c r="Q121" s="2">
        <f t="shared" si="48"/>
        <v>1728</v>
      </c>
      <c r="R121" s="2">
        <f t="shared" si="49"/>
        <v>1728</v>
      </c>
      <c r="T121" s="2">
        <f t="shared" si="47"/>
        <v>1570.5</v>
      </c>
      <c r="U121" s="2">
        <f t="shared" si="47"/>
        <v>1570.5</v>
      </c>
      <c r="W121" s="5">
        <f>Q121-$T$16</f>
        <v>157.5</v>
      </c>
      <c r="X121" s="5">
        <f>R121-$U$16</f>
        <v>157.5</v>
      </c>
    </row>
    <row r="122" spans="1:24" x14ac:dyDescent="0.3">
      <c r="A122" s="1">
        <f t="shared" si="52"/>
        <v>4406</v>
      </c>
      <c r="B122" s="1" t="str">
        <f>B110</f>
        <v>(버프) 불 타워</v>
      </c>
      <c r="C122" s="1">
        <v>1</v>
      </c>
      <c r="D122" s="1">
        <v>0</v>
      </c>
      <c r="E122" s="1">
        <f>E118+2</f>
        <v>4</v>
      </c>
      <c r="F122" s="1">
        <v>1</v>
      </c>
      <c r="G122" s="1" t="b">
        <v>0</v>
      </c>
      <c r="H122" s="1">
        <v>0</v>
      </c>
      <c r="I122" s="1">
        <v>0</v>
      </c>
      <c r="J122" s="1">
        <f t="shared" si="51"/>
        <v>1</v>
      </c>
      <c r="K122" s="1">
        <v>500</v>
      </c>
      <c r="L122" s="1" t="str">
        <f t="shared" si="53"/>
        <v>Buff</v>
      </c>
      <c r="M122" s="1" t="str">
        <f t="shared" si="50"/>
        <v>Tower</v>
      </c>
      <c r="N122" s="1" t="str">
        <f>N118</f>
        <v>DotDamage</v>
      </c>
      <c r="O122" s="1" t="str">
        <f>O118</f>
        <v>None</v>
      </c>
      <c r="Q122" s="2">
        <f t="shared" si="48"/>
        <v>0</v>
      </c>
      <c r="R122" s="2">
        <f t="shared" si="49"/>
        <v>0</v>
      </c>
      <c r="T122" s="2">
        <f t="shared" si="47"/>
        <v>37.5</v>
      </c>
      <c r="U122" s="2">
        <f t="shared" si="47"/>
        <v>37.5</v>
      </c>
      <c r="W122" s="6">
        <f>Q122-$T$17</f>
        <v>-37.5</v>
      </c>
      <c r="X122" s="6">
        <f>R122-$U$17</f>
        <v>-37.5</v>
      </c>
    </row>
    <row r="123" spans="1:24" x14ac:dyDescent="0.3">
      <c r="A123" s="1">
        <f t="shared" si="52"/>
        <v>5106</v>
      </c>
      <c r="B123" s="1" t="str">
        <f>B107</f>
        <v>(광역) 불 타워</v>
      </c>
      <c r="C123" s="1">
        <v>1</v>
      </c>
      <c r="D123" s="1">
        <f>ROUND(D119*4.2,2)</f>
        <v>209.29</v>
      </c>
      <c r="E123" s="1">
        <f>ROUND(E119*1.25,2)</f>
        <v>3.44</v>
      </c>
      <c r="F123" s="1">
        <f>ROUND(F119*3,2)</f>
        <v>4.1399999999999997</v>
      </c>
      <c r="G123" s="1" t="b">
        <v>0</v>
      </c>
      <c r="H123" s="1">
        <f>IF(H119*1.8 &lt;= 1, H119*1.8, 1)</f>
        <v>4.8384000000000003E-2</v>
      </c>
      <c r="I123" s="1">
        <f>ROUND(I119*2.8,2)</f>
        <v>0.28000000000000003</v>
      </c>
      <c r="J123" s="1">
        <f>ROUND(J107*5,2)</f>
        <v>2.5</v>
      </c>
      <c r="K123" s="1">
        <v>1500</v>
      </c>
      <c r="L123" s="1" t="str">
        <f t="shared" si="53"/>
        <v>Splash</v>
      </c>
      <c r="M123" s="1" t="str">
        <f t="shared" si="50"/>
        <v>Enemy</v>
      </c>
      <c r="N123" s="1" t="s">
        <v>12</v>
      </c>
      <c r="O123" s="1" t="str">
        <f>O107</f>
        <v>DotDamage</v>
      </c>
      <c r="Q123" s="2">
        <f t="shared" si="48"/>
        <v>51987.64</v>
      </c>
      <c r="R123" s="2">
        <f t="shared" si="49"/>
        <v>55207.31</v>
      </c>
      <c r="T123" s="2">
        <f t="shared" si="47"/>
        <v>45381.34</v>
      </c>
      <c r="U123" s="2">
        <f t="shared" si="47"/>
        <v>69583.23</v>
      </c>
      <c r="W123" s="3">
        <f>Q123-$T$18</f>
        <v>6606.3000000000029</v>
      </c>
      <c r="X123" s="3">
        <f>R123-$U$18</f>
        <v>-14375.919999999998</v>
      </c>
    </row>
    <row r="124" spans="1:24" x14ac:dyDescent="0.3">
      <c r="A124" s="1">
        <f t="shared" si="52"/>
        <v>5206</v>
      </c>
      <c r="B124" s="1" t="str">
        <f>B108</f>
        <v>(단일) 불 타워</v>
      </c>
      <c r="C124" s="1">
        <v>1</v>
      </c>
      <c r="D124" s="1">
        <f>ROUND(D120*5,2)</f>
        <v>173.4</v>
      </c>
      <c r="E124" s="1">
        <f t="shared" ref="E124:E125" si="54">ROUND(E120*1.25,2)</f>
        <v>3.44</v>
      </c>
      <c r="F124" s="1">
        <f>ROUND(F120*4,2)</f>
        <v>10.56</v>
      </c>
      <c r="G124" s="1" t="b">
        <v>0</v>
      </c>
      <c r="H124" s="1">
        <f>IF(H120*1.8 &lt;= 1, H120*1.8, 1)</f>
        <v>9.6768000000000007E-2</v>
      </c>
      <c r="I124" s="1">
        <f>ROUND(I120*2.8,2)</f>
        <v>0.17</v>
      </c>
      <c r="J124" s="1">
        <f t="shared" si="51"/>
        <v>0</v>
      </c>
      <c r="K124" s="1">
        <v>0</v>
      </c>
      <c r="L124" s="1" t="str">
        <f t="shared" si="53"/>
        <v>Target</v>
      </c>
      <c r="M124" s="1" t="str">
        <f t="shared" si="50"/>
        <v>Enemy</v>
      </c>
      <c r="N124" s="1" t="s">
        <v>12</v>
      </c>
      <c r="O124" s="1" t="s">
        <v>12</v>
      </c>
      <c r="Q124" s="2">
        <f t="shared" si="48"/>
        <v>109866.24000000001</v>
      </c>
      <c r="R124" s="2">
        <f t="shared" si="49"/>
        <v>122305.14</v>
      </c>
      <c r="T124" s="2">
        <f t="shared" si="47"/>
        <v>101106.9</v>
      </c>
      <c r="U124" s="2">
        <f t="shared" si="47"/>
        <v>189869.9</v>
      </c>
      <c r="W124" s="4">
        <f>Q124-$T$19</f>
        <v>8759.3400000000111</v>
      </c>
      <c r="X124" s="4">
        <f>R124-$U$19</f>
        <v>-67564.759999999995</v>
      </c>
    </row>
    <row r="125" spans="1:24" x14ac:dyDescent="0.3">
      <c r="A125" s="1">
        <f t="shared" si="52"/>
        <v>5306</v>
      </c>
      <c r="B125" s="1" t="str">
        <f>B109</f>
        <v>(함정) 불 타워</v>
      </c>
      <c r="C125" s="1">
        <v>1</v>
      </c>
      <c r="D125" s="1">
        <f>ROUND(D121*5,2)</f>
        <v>240</v>
      </c>
      <c r="E125" s="1">
        <f t="shared" si="54"/>
        <v>3.44</v>
      </c>
      <c r="F125" s="1">
        <f>ROUND(F121*3,2)</f>
        <v>1.8</v>
      </c>
      <c r="G125" s="1" t="b">
        <v>0</v>
      </c>
      <c r="H125" s="1">
        <v>0</v>
      </c>
      <c r="I125" s="1">
        <v>0</v>
      </c>
      <c r="J125" s="1">
        <f t="shared" si="51"/>
        <v>30</v>
      </c>
      <c r="K125" s="1">
        <v>0</v>
      </c>
      <c r="L125" s="1" t="str">
        <f t="shared" si="53"/>
        <v>Trap</v>
      </c>
      <c r="M125" s="1" t="str">
        <f t="shared" si="50"/>
        <v>Enemy</v>
      </c>
      <c r="N125" s="1" t="s">
        <v>12</v>
      </c>
      <c r="O125" s="1" t="s">
        <v>12</v>
      </c>
      <c r="Q125" s="2">
        <f t="shared" si="48"/>
        <v>25920</v>
      </c>
      <c r="R125" s="2">
        <f t="shared" si="49"/>
        <v>25920</v>
      </c>
      <c r="T125" s="2">
        <f t="shared" si="47"/>
        <v>23557.5</v>
      </c>
      <c r="U125" s="2">
        <f t="shared" si="47"/>
        <v>23557.5</v>
      </c>
      <c r="W125" s="5">
        <f>Q125-$T$20</f>
        <v>2362.5</v>
      </c>
      <c r="X125" s="5">
        <f>R125-$U$20</f>
        <v>2362.5</v>
      </c>
    </row>
    <row r="126" spans="1:24" x14ac:dyDescent="0.3">
      <c r="A126" s="1">
        <f t="shared" si="52"/>
        <v>5406</v>
      </c>
      <c r="B126" s="1" t="str">
        <f>B110</f>
        <v>(버프) 불 타워</v>
      </c>
      <c r="C126" s="1">
        <v>1</v>
      </c>
      <c r="D126" s="1">
        <v>0</v>
      </c>
      <c r="E126" s="1">
        <f>E122+3</f>
        <v>7</v>
      </c>
      <c r="F126" s="1">
        <v>1</v>
      </c>
      <c r="G126" s="1" t="b">
        <v>0</v>
      </c>
      <c r="H126" s="1">
        <v>0</v>
      </c>
      <c r="I126" s="1">
        <v>0</v>
      </c>
      <c r="J126" s="1">
        <f t="shared" si="51"/>
        <v>1</v>
      </c>
      <c r="K126" s="1">
        <v>1500</v>
      </c>
      <c r="L126" s="1" t="str">
        <f t="shared" si="53"/>
        <v>Buff</v>
      </c>
      <c r="M126" s="1" t="str">
        <f t="shared" si="50"/>
        <v>Tower</v>
      </c>
      <c r="N126" s="1" t="str">
        <f>N122</f>
        <v>DotDamage</v>
      </c>
      <c r="O126" s="1" t="str">
        <f>O122</f>
        <v>None</v>
      </c>
      <c r="Q126" s="2">
        <f t="shared" si="48"/>
        <v>0</v>
      </c>
      <c r="R126" s="2">
        <f t="shared" si="49"/>
        <v>0</v>
      </c>
      <c r="T126" s="2">
        <f t="shared" si="47"/>
        <v>75</v>
      </c>
      <c r="U126" s="2">
        <f t="shared" si="47"/>
        <v>75</v>
      </c>
      <c r="W126" s="6">
        <f>Q126-$T$21</f>
        <v>-75</v>
      </c>
      <c r="X126" s="6">
        <f>R126-$U$21</f>
        <v>-75</v>
      </c>
    </row>
    <row r="127" spans="1:24" x14ac:dyDescent="0.3">
      <c r="W127" s="6"/>
      <c r="X127" s="6"/>
    </row>
    <row r="128" spans="1:24" x14ac:dyDescent="0.3">
      <c r="A128" s="1">
        <v>1107</v>
      </c>
      <c r="B128" s="1" t="s">
        <v>60</v>
      </c>
      <c r="C128" s="1">
        <v>1</v>
      </c>
      <c r="D128" s="1">
        <v>4.7</v>
      </c>
      <c r="E128" s="1">
        <v>2.5</v>
      </c>
      <c r="F128" s="1">
        <v>0.05</v>
      </c>
      <c r="G128" s="1" t="b">
        <v>0</v>
      </c>
      <c r="H128" s="1">
        <v>0.22</v>
      </c>
      <c r="I128" s="1">
        <v>4.7E-2</v>
      </c>
      <c r="J128" s="1">
        <v>0.5</v>
      </c>
      <c r="K128" s="1">
        <v>8.6957000000000004</v>
      </c>
      <c r="L128" s="1" t="s">
        <v>3</v>
      </c>
      <c r="M128" s="1" t="str">
        <f t="shared" ref="M128:M130" si="55">IF(L128="Buff","Tower","Enemy")</f>
        <v>Enemy</v>
      </c>
      <c r="N128" s="1" t="s">
        <v>12</v>
      </c>
      <c r="O128" s="1" t="s">
        <v>28</v>
      </c>
      <c r="Q128" s="2">
        <f>ROUND(60*(D128*F128),2)</f>
        <v>14.1</v>
      </c>
      <c r="R128" s="2">
        <f>ROUND((Q128*H128*(2+I128))+Q128*(1-H128),2)</f>
        <v>17.350000000000001</v>
      </c>
      <c r="T128" s="2">
        <f t="shared" ref="T128:U147" si="56">T2</f>
        <v>25.54</v>
      </c>
      <c r="U128" s="2">
        <f t="shared" si="56"/>
        <v>27.01</v>
      </c>
      <c r="W128" s="3">
        <f>Q128-$T$2</f>
        <v>-11.44</v>
      </c>
      <c r="X128" s="3">
        <f>R128-$U$2</f>
        <v>-9.66</v>
      </c>
    </row>
    <row r="129" spans="1:24" x14ac:dyDescent="0.3">
      <c r="A129" s="1">
        <f>A128+100</f>
        <v>1207</v>
      </c>
      <c r="B129" s="1" t="s">
        <v>61</v>
      </c>
      <c r="C129" s="1">
        <v>1</v>
      </c>
      <c r="D129" s="1">
        <v>8</v>
      </c>
      <c r="E129" s="1">
        <v>2.5</v>
      </c>
      <c r="F129" s="1">
        <v>7.0000000000000007E-2</v>
      </c>
      <c r="G129" s="1" t="b">
        <v>0</v>
      </c>
      <c r="H129" s="1">
        <v>0.17</v>
      </c>
      <c r="I129" s="1">
        <v>2.8000000000000001E-2</v>
      </c>
      <c r="J129" s="1">
        <v>0</v>
      </c>
      <c r="K129" s="1">
        <v>0</v>
      </c>
      <c r="L129" s="1" t="s">
        <v>4</v>
      </c>
      <c r="M129" s="1" t="str">
        <f t="shared" si="55"/>
        <v>Enemy</v>
      </c>
      <c r="N129" s="1" t="s">
        <v>12</v>
      </c>
      <c r="O129" s="1" t="s">
        <v>12</v>
      </c>
      <c r="Q129" s="2">
        <f t="shared" ref="Q129:Q147" si="57">ROUND(60*(D129*F129),2)</f>
        <v>33.6</v>
      </c>
      <c r="R129" s="2">
        <f t="shared" ref="R129:R147" si="58">ROUND((Q129*H129*(2+I129))+Q129*(1-H129),2)</f>
        <v>39.47</v>
      </c>
      <c r="T129" s="2">
        <f t="shared" si="56"/>
        <v>33.96</v>
      </c>
      <c r="U129" s="2">
        <f t="shared" si="56"/>
        <v>36.51</v>
      </c>
      <c r="W129" s="4">
        <f>Q129-$T$3</f>
        <v>-0.35999999999999943</v>
      </c>
      <c r="X129" s="4">
        <f>R129-$U$3</f>
        <v>2.9600000000000009</v>
      </c>
    </row>
    <row r="130" spans="1:24" x14ac:dyDescent="0.3">
      <c r="A130" s="1">
        <f>A128+200</f>
        <v>1307</v>
      </c>
      <c r="B130" s="1" t="s">
        <v>62</v>
      </c>
      <c r="C130" s="1">
        <v>1</v>
      </c>
      <c r="D130" s="1">
        <v>50</v>
      </c>
      <c r="E130" s="1">
        <v>2.5</v>
      </c>
      <c r="F130" s="1">
        <v>5.0000000000000001E-3</v>
      </c>
      <c r="G130" s="1" t="b">
        <v>0</v>
      </c>
      <c r="H130" s="1">
        <v>0</v>
      </c>
      <c r="I130" s="1">
        <v>0</v>
      </c>
      <c r="J130" s="1">
        <v>30</v>
      </c>
      <c r="K130" s="1">
        <v>525</v>
      </c>
      <c r="L130" s="1" t="s">
        <v>5</v>
      </c>
      <c r="M130" s="1" t="str">
        <f t="shared" si="55"/>
        <v>Enemy</v>
      </c>
      <c r="N130" s="1" t="s">
        <v>12</v>
      </c>
      <c r="O130" s="1" t="s">
        <v>12</v>
      </c>
      <c r="Q130" s="2">
        <f t="shared" si="57"/>
        <v>15</v>
      </c>
      <c r="R130" s="2">
        <f t="shared" si="58"/>
        <v>15</v>
      </c>
      <c r="T130" s="2">
        <f t="shared" si="56"/>
        <v>9.08</v>
      </c>
      <c r="U130" s="2">
        <f t="shared" si="56"/>
        <v>9.08</v>
      </c>
      <c r="W130" s="5">
        <f>Q130-$T$4</f>
        <v>5.92</v>
      </c>
      <c r="X130" s="5">
        <f>R130-$U$4</f>
        <v>5.92</v>
      </c>
    </row>
    <row r="131" spans="1:24" x14ac:dyDescent="0.3">
      <c r="A131" s="1">
        <f>A128+300</f>
        <v>1407</v>
      </c>
      <c r="B131" s="1" t="s">
        <v>63</v>
      </c>
      <c r="C131" s="1">
        <v>1</v>
      </c>
      <c r="D131" s="1">
        <v>0</v>
      </c>
      <c r="E131" s="1">
        <v>3</v>
      </c>
      <c r="F131" s="1">
        <v>1</v>
      </c>
      <c r="G131" s="1" t="b">
        <v>0</v>
      </c>
      <c r="H131" s="1">
        <v>0</v>
      </c>
      <c r="I131" s="1">
        <v>0</v>
      </c>
      <c r="J131" s="1">
        <v>1</v>
      </c>
      <c r="K131" s="1">
        <f>IF(L131="Buff",1.2,8.6957)</f>
        <v>8.6957000000000004</v>
      </c>
      <c r="L131" s="1" t="s">
        <v>15</v>
      </c>
      <c r="M131" s="1" t="str">
        <f>IF(L131="Buff","Tower","Enemy")</f>
        <v>Enemy</v>
      </c>
      <c r="N131" s="1" t="s">
        <v>12</v>
      </c>
      <c r="O131" s="1" t="s">
        <v>28</v>
      </c>
      <c r="Q131" s="2">
        <f t="shared" si="57"/>
        <v>0</v>
      </c>
      <c r="R131" s="2">
        <f t="shared" si="58"/>
        <v>0</v>
      </c>
      <c r="T131" s="2">
        <f t="shared" si="56"/>
        <v>7.5</v>
      </c>
      <c r="U131" s="2">
        <f t="shared" si="56"/>
        <v>7.5</v>
      </c>
      <c r="W131" s="6">
        <f>Q131-$T$5</f>
        <v>-7.5</v>
      </c>
      <c r="X131" s="6">
        <f>R131-$U$5</f>
        <v>-7.5</v>
      </c>
    </row>
    <row r="132" spans="1:24" x14ac:dyDescent="0.3">
      <c r="A132" s="1">
        <f>A128+1000</f>
        <v>2107</v>
      </c>
      <c r="B132" s="1" t="str">
        <f>B128</f>
        <v>(광역) 얼음 타워</v>
      </c>
      <c r="C132" s="1">
        <v>1</v>
      </c>
      <c r="D132" s="1">
        <f>ROUND(D128*1.8,2)</f>
        <v>8.4600000000000009</v>
      </c>
      <c r="E132" s="1">
        <f>ROUND(E128,2)</f>
        <v>2.5</v>
      </c>
      <c r="F132" s="1">
        <f>ROUND(F128*2.1,2)</f>
        <v>0.11</v>
      </c>
      <c r="G132" s="1" t="b">
        <v>0</v>
      </c>
      <c r="H132" s="1">
        <f>IF(H128*1.2 &lt;= 1, H128*1.2, 1)</f>
        <v>0.26400000000000001</v>
      </c>
      <c r="I132" s="1">
        <f>ROUND(I128*1.2,2)</f>
        <v>0.06</v>
      </c>
      <c r="J132" s="1">
        <f>ROUND(J128*1.5,2)</f>
        <v>0.75</v>
      </c>
      <c r="K132" s="1">
        <v>25</v>
      </c>
      <c r="L132" s="1" t="str">
        <f>L128</f>
        <v>Splash</v>
      </c>
      <c r="M132" s="1" t="str">
        <f t="shared" ref="M132:M147" si="59">IF(L132="Buff","Tower","Enemy")</f>
        <v>Enemy</v>
      </c>
      <c r="N132" s="1" t="s">
        <v>12</v>
      </c>
      <c r="O132" s="1" t="str">
        <f>O128</f>
        <v>Slow</v>
      </c>
      <c r="Q132" s="2">
        <f t="shared" si="57"/>
        <v>55.84</v>
      </c>
      <c r="R132" s="2">
        <f t="shared" si="58"/>
        <v>71.47</v>
      </c>
      <c r="T132" s="2">
        <f t="shared" si="56"/>
        <v>96.69</v>
      </c>
      <c r="U132" s="2">
        <f t="shared" si="56"/>
        <v>103.51</v>
      </c>
      <c r="W132" s="3">
        <f>Q132-$T$6</f>
        <v>-40.849999999999994</v>
      </c>
      <c r="X132" s="3">
        <f>R132-$U$6</f>
        <v>-32.040000000000006</v>
      </c>
    </row>
    <row r="133" spans="1:24" x14ac:dyDescent="0.3">
      <c r="A133" s="1">
        <f>A129+1000</f>
        <v>2207</v>
      </c>
      <c r="B133" s="1" t="str">
        <f>B129</f>
        <v>(단일) 얼음 타워</v>
      </c>
      <c r="C133" s="1">
        <v>1</v>
      </c>
      <c r="D133" s="1">
        <f>ROUND(D129*1.7,2)</f>
        <v>13.6</v>
      </c>
      <c r="E133" s="1">
        <f>ROUND(E129,2)</f>
        <v>2.5</v>
      </c>
      <c r="F133" s="1">
        <f>ROUND(F129*2.2,2)</f>
        <v>0.15</v>
      </c>
      <c r="G133" s="1" t="b">
        <v>0</v>
      </c>
      <c r="H133" s="1">
        <f>IF(H129*1.2 &lt;= 1, H129*1.2, 1)</f>
        <v>0.20400000000000001</v>
      </c>
      <c r="I133" s="1">
        <f>ROUND(I129*1.2,2)</f>
        <v>0.03</v>
      </c>
      <c r="J133" s="1">
        <f t="shared" ref="J133:J147" si="60">J129</f>
        <v>0</v>
      </c>
      <c r="K133" s="1">
        <v>0</v>
      </c>
      <c r="L133" s="1" t="str">
        <f>L129</f>
        <v>Target</v>
      </c>
      <c r="M133" s="1" t="str">
        <f t="shared" si="59"/>
        <v>Enemy</v>
      </c>
      <c r="N133" s="1" t="s">
        <v>12</v>
      </c>
      <c r="O133" s="1" t="s">
        <v>12</v>
      </c>
      <c r="Q133" s="2">
        <f t="shared" si="57"/>
        <v>122.4</v>
      </c>
      <c r="R133" s="2">
        <f t="shared" si="58"/>
        <v>148.12</v>
      </c>
      <c r="T133" s="2">
        <f t="shared" si="56"/>
        <v>127.57</v>
      </c>
      <c r="U133" s="2">
        <f t="shared" si="56"/>
        <v>139.41</v>
      </c>
      <c r="W133" s="4">
        <f>Q133-$T$7</f>
        <v>-5.1699999999999875</v>
      </c>
      <c r="X133" s="4">
        <f>R133-$U$7</f>
        <v>8.710000000000008</v>
      </c>
    </row>
    <row r="134" spans="1:24" x14ac:dyDescent="0.3">
      <c r="A134" s="1">
        <f t="shared" ref="A134:A147" si="61">A130+1000</f>
        <v>2307</v>
      </c>
      <c r="B134" s="1" t="str">
        <f>B130</f>
        <v>(함정) 얼음 타워</v>
      </c>
      <c r="C134" s="1">
        <v>1</v>
      </c>
      <c r="D134" s="1">
        <f>ROUND(D130*2,2)</f>
        <v>100</v>
      </c>
      <c r="E134" s="1">
        <f>ROUND(E130,2)</f>
        <v>2.5</v>
      </c>
      <c r="F134" s="1">
        <f>ROUND(F130*2.1,2)</f>
        <v>0.01</v>
      </c>
      <c r="G134" s="1" t="b">
        <v>0</v>
      </c>
      <c r="H134" s="1">
        <v>0</v>
      </c>
      <c r="I134" s="1">
        <v>0</v>
      </c>
      <c r="J134" s="1">
        <f t="shared" si="60"/>
        <v>30</v>
      </c>
      <c r="K134" s="1">
        <v>1500</v>
      </c>
      <c r="L134" s="1" t="str">
        <f>L130</f>
        <v>Trap</v>
      </c>
      <c r="M134" s="1" t="str">
        <f t="shared" si="59"/>
        <v>Enemy</v>
      </c>
      <c r="N134" s="1" t="s">
        <v>12</v>
      </c>
      <c r="O134" s="1" t="s">
        <v>12</v>
      </c>
      <c r="Q134" s="2">
        <f t="shared" si="57"/>
        <v>60</v>
      </c>
      <c r="R134" s="2">
        <f t="shared" si="58"/>
        <v>60</v>
      </c>
      <c r="T134" s="2">
        <f t="shared" si="56"/>
        <v>38.28</v>
      </c>
      <c r="U134" s="2">
        <f t="shared" si="56"/>
        <v>38.28</v>
      </c>
      <c r="W134" s="5">
        <f>Q134-$T$8</f>
        <v>21.72</v>
      </c>
      <c r="X134" s="5">
        <f>R134-$U$8</f>
        <v>21.72</v>
      </c>
    </row>
    <row r="135" spans="1:24" x14ac:dyDescent="0.3">
      <c r="A135" s="1">
        <f t="shared" si="61"/>
        <v>2407</v>
      </c>
      <c r="B135" s="1" t="str">
        <f>B131</f>
        <v>(버프) 얼음 타워</v>
      </c>
      <c r="C135" s="1">
        <v>1</v>
      </c>
      <c r="D135" s="1">
        <v>0</v>
      </c>
      <c r="E135" s="1">
        <f>E131+0</f>
        <v>3</v>
      </c>
      <c r="F135" s="1">
        <v>1</v>
      </c>
      <c r="G135" s="1" t="b">
        <v>0</v>
      </c>
      <c r="H135" s="1">
        <v>0</v>
      </c>
      <c r="I135" s="1">
        <v>0</v>
      </c>
      <c r="J135" s="1">
        <f t="shared" si="60"/>
        <v>1</v>
      </c>
      <c r="K135" s="1">
        <f>IF(L135="Buff",1.4,25)</f>
        <v>25</v>
      </c>
      <c r="L135" s="1" t="str">
        <f>L131</f>
        <v>Debuff</v>
      </c>
      <c r="M135" s="1" t="str">
        <f t="shared" si="59"/>
        <v>Enemy</v>
      </c>
      <c r="N135" s="1" t="str">
        <f>N131</f>
        <v>None</v>
      </c>
      <c r="O135" s="1" t="str">
        <f>O131</f>
        <v>Slow</v>
      </c>
      <c r="Q135" s="2">
        <f t="shared" si="57"/>
        <v>0</v>
      </c>
      <c r="R135" s="2">
        <f t="shared" si="58"/>
        <v>0</v>
      </c>
      <c r="T135" s="2">
        <f t="shared" si="56"/>
        <v>15</v>
      </c>
      <c r="U135" s="2">
        <f t="shared" si="56"/>
        <v>15</v>
      </c>
      <c r="W135" s="6">
        <f>Q135-$T$9</f>
        <v>-15</v>
      </c>
      <c r="X135" s="6">
        <f>R135-$U$9</f>
        <v>-15</v>
      </c>
    </row>
    <row r="136" spans="1:24" x14ac:dyDescent="0.3">
      <c r="A136" s="1">
        <f t="shared" si="61"/>
        <v>3107</v>
      </c>
      <c r="B136" s="1" t="str">
        <f>B128</f>
        <v>(광역) 얼음 타워</v>
      </c>
      <c r="C136" s="1">
        <v>1</v>
      </c>
      <c r="D136" s="1">
        <f>ROUND(D132*2.25,2)</f>
        <v>19.04</v>
      </c>
      <c r="E136" s="1">
        <f>ROUND(E132,2)</f>
        <v>2.5</v>
      </c>
      <c r="F136" s="1">
        <f>ROUND(F132*2.2,2)</f>
        <v>0.24</v>
      </c>
      <c r="G136" s="1" t="b">
        <v>0</v>
      </c>
      <c r="H136" s="1">
        <f>IF(H132*1.4 &lt;= 1, H132*1.4, 1)</f>
        <v>0.36959999999999998</v>
      </c>
      <c r="I136" s="1">
        <f>ROUND(I132*1.5,2)</f>
        <v>0.09</v>
      </c>
      <c r="J136" s="1">
        <f>ROUND(J128*2,2)</f>
        <v>1</v>
      </c>
      <c r="K136" s="1">
        <v>60</v>
      </c>
      <c r="L136" s="1" t="str">
        <f t="shared" ref="L136:L147" si="62">L132</f>
        <v>Splash</v>
      </c>
      <c r="M136" s="1" t="str">
        <f t="shared" si="59"/>
        <v>Enemy</v>
      </c>
      <c r="N136" s="1" t="s">
        <v>12</v>
      </c>
      <c r="O136" s="1" t="str">
        <f>O128</f>
        <v>Slow</v>
      </c>
      <c r="Q136" s="2">
        <f t="shared" si="57"/>
        <v>274.18</v>
      </c>
      <c r="R136" s="2">
        <f t="shared" si="58"/>
        <v>384.64</v>
      </c>
      <c r="T136" s="2">
        <f t="shared" si="56"/>
        <v>479.72</v>
      </c>
      <c r="U136" s="2">
        <f t="shared" si="56"/>
        <v>530</v>
      </c>
      <c r="W136" s="3">
        <f>Q136-$T$10</f>
        <v>-205.54000000000002</v>
      </c>
      <c r="X136" s="3">
        <f>R136-$U$10</f>
        <v>-145.36000000000001</v>
      </c>
    </row>
    <row r="137" spans="1:24" x14ac:dyDescent="0.3">
      <c r="A137" s="1">
        <f t="shared" si="61"/>
        <v>3207</v>
      </c>
      <c r="B137" s="1" t="str">
        <f>B129</f>
        <v>(단일) 얼음 타워</v>
      </c>
      <c r="C137" s="1">
        <v>1</v>
      </c>
      <c r="D137" s="1">
        <f>ROUND(D133*2,2)</f>
        <v>27.2</v>
      </c>
      <c r="E137" s="1">
        <f>ROUND(E133,2)</f>
        <v>2.5</v>
      </c>
      <c r="F137" s="1">
        <f>ROUND(F133*2.4,2)</f>
        <v>0.36</v>
      </c>
      <c r="G137" s="1" t="b">
        <v>0</v>
      </c>
      <c r="H137" s="1">
        <f>IF(H133*1.4 &lt;= 1, H133*1.4, 1)</f>
        <v>0.28560000000000002</v>
      </c>
      <c r="I137" s="1">
        <f>ROUND(I133*1.5,2)</f>
        <v>0.05</v>
      </c>
      <c r="J137" s="1">
        <f t="shared" si="60"/>
        <v>0</v>
      </c>
      <c r="K137" s="1">
        <v>0</v>
      </c>
      <c r="L137" s="1" t="str">
        <f t="shared" si="62"/>
        <v>Target</v>
      </c>
      <c r="M137" s="1" t="str">
        <f t="shared" si="59"/>
        <v>Enemy</v>
      </c>
      <c r="N137" s="1" t="s">
        <v>12</v>
      </c>
      <c r="O137" s="1" t="s">
        <v>12</v>
      </c>
      <c r="Q137" s="2">
        <f t="shared" si="57"/>
        <v>587.52</v>
      </c>
      <c r="R137" s="2">
        <f t="shared" si="58"/>
        <v>763.71</v>
      </c>
      <c r="T137" s="2">
        <f t="shared" si="56"/>
        <v>612.57000000000005</v>
      </c>
      <c r="U137" s="2">
        <f t="shared" si="56"/>
        <v>699.51</v>
      </c>
      <c r="W137" s="4">
        <f>Q137-$T$11</f>
        <v>-25.050000000000068</v>
      </c>
      <c r="X137" s="4">
        <f>R137-$U$11</f>
        <v>64.200000000000045</v>
      </c>
    </row>
    <row r="138" spans="1:24" x14ac:dyDescent="0.3">
      <c r="A138" s="1">
        <f t="shared" si="61"/>
        <v>3307</v>
      </c>
      <c r="B138" s="1" t="str">
        <f>B130</f>
        <v>(함정) 얼음 타워</v>
      </c>
      <c r="C138" s="1">
        <v>1</v>
      </c>
      <c r="D138" s="1">
        <f>ROUND(D134*2.5,2)</f>
        <v>250</v>
      </c>
      <c r="E138" s="1">
        <f>ROUND(E134,2)</f>
        <v>2.5</v>
      </c>
      <c r="F138" s="1">
        <f>ROUND(F134*2.2,2)</f>
        <v>0.02</v>
      </c>
      <c r="G138" s="1" t="b">
        <v>0</v>
      </c>
      <c r="H138" s="1">
        <v>0</v>
      </c>
      <c r="I138" s="1">
        <v>0</v>
      </c>
      <c r="J138" s="1">
        <f t="shared" si="60"/>
        <v>30</v>
      </c>
      <c r="K138" s="1">
        <v>3750</v>
      </c>
      <c r="L138" s="1" t="str">
        <f t="shared" si="62"/>
        <v>Trap</v>
      </c>
      <c r="M138" s="1" t="str">
        <f t="shared" si="59"/>
        <v>Enemy</v>
      </c>
      <c r="N138" s="1" t="s">
        <v>12</v>
      </c>
      <c r="O138" s="1" t="s">
        <v>12</v>
      </c>
      <c r="Q138" s="2">
        <f t="shared" si="57"/>
        <v>300</v>
      </c>
      <c r="R138" s="2">
        <f t="shared" si="58"/>
        <v>300</v>
      </c>
      <c r="T138" s="2">
        <f t="shared" si="56"/>
        <v>208.8</v>
      </c>
      <c r="U138" s="2">
        <f t="shared" si="56"/>
        <v>208.8</v>
      </c>
      <c r="W138" s="5">
        <f>Q138-$T$12</f>
        <v>91.199999999999989</v>
      </c>
      <c r="X138" s="5">
        <f>R138-$U$12</f>
        <v>91.199999999999989</v>
      </c>
    </row>
    <row r="139" spans="1:24" x14ac:dyDescent="0.3">
      <c r="A139" s="1">
        <f t="shared" si="61"/>
        <v>3407</v>
      </c>
      <c r="B139" s="1" t="str">
        <f>B131</f>
        <v>(버프) 얼음 타워</v>
      </c>
      <c r="C139" s="1">
        <v>1</v>
      </c>
      <c r="D139" s="1">
        <v>0</v>
      </c>
      <c r="E139" s="1">
        <f>E135+1</f>
        <v>4</v>
      </c>
      <c r="F139" s="1">
        <v>1</v>
      </c>
      <c r="G139" s="1" t="b">
        <v>0</v>
      </c>
      <c r="H139" s="1">
        <v>0</v>
      </c>
      <c r="I139" s="1">
        <v>0</v>
      </c>
      <c r="J139" s="1">
        <f t="shared" si="60"/>
        <v>1</v>
      </c>
      <c r="K139" s="1">
        <f>IF(L139="Buff",2,60)</f>
        <v>60</v>
      </c>
      <c r="L139" s="1" t="str">
        <f t="shared" si="62"/>
        <v>Debuff</v>
      </c>
      <c r="M139" s="1" t="str">
        <f t="shared" si="59"/>
        <v>Enemy</v>
      </c>
      <c r="N139" s="1" t="str">
        <f>N135</f>
        <v>None</v>
      </c>
      <c r="O139" s="1" t="str">
        <f>O135</f>
        <v>Slow</v>
      </c>
      <c r="Q139" s="2">
        <f t="shared" si="57"/>
        <v>0</v>
      </c>
      <c r="R139" s="2">
        <f t="shared" si="58"/>
        <v>0</v>
      </c>
      <c r="T139" s="2">
        <f t="shared" si="56"/>
        <v>22.5</v>
      </c>
      <c r="U139" s="2">
        <f t="shared" si="56"/>
        <v>22.5</v>
      </c>
      <c r="W139" s="6">
        <f>Q139-$T$13</f>
        <v>-22.5</v>
      </c>
      <c r="X139" s="6">
        <f>R139-$U$13</f>
        <v>-22.5</v>
      </c>
    </row>
    <row r="140" spans="1:24" x14ac:dyDescent="0.3">
      <c r="A140" s="1">
        <f t="shared" si="61"/>
        <v>4107</v>
      </c>
      <c r="B140" s="1" t="str">
        <f>B128</f>
        <v>(광역) 얼음 타워</v>
      </c>
      <c r="C140" s="1">
        <v>1</v>
      </c>
      <c r="D140" s="1">
        <f>ROUND(D136*3,2)</f>
        <v>57.12</v>
      </c>
      <c r="E140" s="1">
        <f>ROUND(E136*1.1,2)</f>
        <v>2.75</v>
      </c>
      <c r="F140" s="1">
        <f>ROUND(F136*2.5,2)</f>
        <v>0.6</v>
      </c>
      <c r="G140" s="1" t="b">
        <v>0</v>
      </c>
      <c r="H140" s="1">
        <f>IF(H136*1.6 &lt;= 1, H136*1.6, 1)</f>
        <v>0.59136</v>
      </c>
      <c r="I140" s="1">
        <f>ROUND(I136*2,2)</f>
        <v>0.18</v>
      </c>
      <c r="J140" s="1">
        <f>ROUND(J128*3,2)</f>
        <v>1.5</v>
      </c>
      <c r="K140" s="1">
        <v>150</v>
      </c>
      <c r="L140" s="1" t="str">
        <f t="shared" si="62"/>
        <v>Splash</v>
      </c>
      <c r="M140" s="1" t="str">
        <f t="shared" si="59"/>
        <v>Enemy</v>
      </c>
      <c r="N140" s="1" t="s">
        <v>12</v>
      </c>
      <c r="O140" s="1" t="str">
        <f>O128</f>
        <v>Slow</v>
      </c>
      <c r="Q140" s="2">
        <f t="shared" si="57"/>
        <v>2056.3200000000002</v>
      </c>
      <c r="R140" s="2">
        <f t="shared" si="58"/>
        <v>3491.23</v>
      </c>
      <c r="T140" s="2">
        <f t="shared" si="56"/>
        <v>3601.59</v>
      </c>
      <c r="U140" s="2">
        <f t="shared" si="56"/>
        <v>4306.1000000000004</v>
      </c>
      <c r="W140" s="3">
        <f>Q140-$T$14</f>
        <v>-1545.27</v>
      </c>
      <c r="X140" s="3">
        <f>R140-$U$14</f>
        <v>-814.87000000000035</v>
      </c>
    </row>
    <row r="141" spans="1:24" x14ac:dyDescent="0.3">
      <c r="A141" s="1">
        <f t="shared" si="61"/>
        <v>4207</v>
      </c>
      <c r="B141" s="1" t="str">
        <f>B129</f>
        <v>(단일) 얼음 타워</v>
      </c>
      <c r="C141" s="1">
        <v>1</v>
      </c>
      <c r="D141" s="1">
        <f>ROUND(D137*3,2)</f>
        <v>81.599999999999994</v>
      </c>
      <c r="E141" s="1">
        <f>ROUND(E137*1.1,2)</f>
        <v>2.75</v>
      </c>
      <c r="F141" s="1">
        <f>ROUND(F137*2.75,2)</f>
        <v>0.99</v>
      </c>
      <c r="G141" s="1" t="b">
        <v>0</v>
      </c>
      <c r="H141" s="1">
        <f>IF(H137*1.6 &lt;= 1, H137*1.6, 1)</f>
        <v>0.45696000000000003</v>
      </c>
      <c r="I141" s="1">
        <f>ROUND(I137*2,2)</f>
        <v>0.1</v>
      </c>
      <c r="J141" s="1">
        <f t="shared" si="60"/>
        <v>0</v>
      </c>
      <c r="K141" s="1">
        <v>0</v>
      </c>
      <c r="L141" s="1" t="str">
        <f t="shared" si="62"/>
        <v>Target</v>
      </c>
      <c r="M141" s="1" t="str">
        <f t="shared" si="59"/>
        <v>Enemy</v>
      </c>
      <c r="N141" s="1" t="s">
        <v>12</v>
      </c>
      <c r="O141" s="1" t="s">
        <v>12</v>
      </c>
      <c r="Q141" s="2">
        <f t="shared" si="57"/>
        <v>4847.04</v>
      </c>
      <c r="R141" s="2">
        <f t="shared" si="58"/>
        <v>7283.43</v>
      </c>
      <c r="T141" s="2">
        <f t="shared" si="56"/>
        <v>5055.3500000000004</v>
      </c>
      <c r="U141" s="2">
        <f t="shared" si="56"/>
        <v>6489.95</v>
      </c>
      <c r="W141" s="4">
        <f>Q141-$T$15</f>
        <v>-208.3100000000004</v>
      </c>
      <c r="X141" s="4">
        <f>R141-$U$15</f>
        <v>793.48000000000047</v>
      </c>
    </row>
    <row r="142" spans="1:24" x14ac:dyDescent="0.3">
      <c r="A142" s="1">
        <f t="shared" si="61"/>
        <v>4307</v>
      </c>
      <c r="B142" s="1" t="str">
        <f>B130</f>
        <v>(함정) 얼음 타워</v>
      </c>
      <c r="C142" s="1">
        <v>1</v>
      </c>
      <c r="D142" s="1">
        <f>ROUND(D138*3,2)</f>
        <v>750</v>
      </c>
      <c r="E142" s="1">
        <f>ROUND(E138*1.1,2)</f>
        <v>2.75</v>
      </c>
      <c r="F142" s="1">
        <f>ROUND(F138*2.5,2)</f>
        <v>0.05</v>
      </c>
      <c r="G142" s="1" t="b">
        <v>0</v>
      </c>
      <c r="H142" s="1">
        <v>0</v>
      </c>
      <c r="I142" s="1">
        <v>0</v>
      </c>
      <c r="J142" s="1">
        <f t="shared" si="60"/>
        <v>30</v>
      </c>
      <c r="K142" s="1">
        <v>7500</v>
      </c>
      <c r="L142" s="1" t="str">
        <f t="shared" si="62"/>
        <v>Trap</v>
      </c>
      <c r="M142" s="1" t="str">
        <f t="shared" si="59"/>
        <v>Enemy</v>
      </c>
      <c r="N142" s="1" t="s">
        <v>12</v>
      </c>
      <c r="O142" s="1" t="s">
        <v>12</v>
      </c>
      <c r="Q142" s="2">
        <f t="shared" si="57"/>
        <v>2250</v>
      </c>
      <c r="R142" s="2">
        <f t="shared" si="58"/>
        <v>2250</v>
      </c>
      <c r="T142" s="2">
        <f t="shared" si="56"/>
        <v>1570.5</v>
      </c>
      <c r="U142" s="2">
        <f t="shared" si="56"/>
        <v>1570.5</v>
      </c>
      <c r="W142" s="5">
        <f>Q142-$T$16</f>
        <v>679.5</v>
      </c>
      <c r="X142" s="5">
        <f>R142-$U$16</f>
        <v>679.5</v>
      </c>
    </row>
    <row r="143" spans="1:24" x14ac:dyDescent="0.3">
      <c r="A143" s="1">
        <f t="shared" si="61"/>
        <v>4407</v>
      </c>
      <c r="B143" s="1" t="str">
        <f>B131</f>
        <v>(버프) 얼음 타워</v>
      </c>
      <c r="C143" s="1">
        <v>1</v>
      </c>
      <c r="D143" s="1">
        <v>0</v>
      </c>
      <c r="E143" s="1">
        <f>E139+2</f>
        <v>6</v>
      </c>
      <c r="F143" s="1">
        <v>1</v>
      </c>
      <c r="G143" s="1" t="b">
        <v>0</v>
      </c>
      <c r="H143" s="1">
        <v>0</v>
      </c>
      <c r="I143" s="1">
        <v>0</v>
      </c>
      <c r="J143" s="1">
        <f t="shared" si="60"/>
        <v>1</v>
      </c>
      <c r="K143" s="1">
        <f>IF(L143="Buff",3,150)</f>
        <v>150</v>
      </c>
      <c r="L143" s="1" t="str">
        <f t="shared" si="62"/>
        <v>Debuff</v>
      </c>
      <c r="M143" s="1" t="str">
        <f t="shared" si="59"/>
        <v>Enemy</v>
      </c>
      <c r="N143" s="1" t="str">
        <f>N139</f>
        <v>None</v>
      </c>
      <c r="O143" s="1" t="str">
        <f>O139</f>
        <v>Slow</v>
      </c>
      <c r="Q143" s="2">
        <f t="shared" si="57"/>
        <v>0</v>
      </c>
      <c r="R143" s="2">
        <f t="shared" si="58"/>
        <v>0</v>
      </c>
      <c r="T143" s="2">
        <f t="shared" si="56"/>
        <v>37.5</v>
      </c>
      <c r="U143" s="2">
        <f t="shared" si="56"/>
        <v>37.5</v>
      </c>
      <c r="W143" s="6">
        <f>Q143-$T$17</f>
        <v>-37.5</v>
      </c>
      <c r="X143" s="6">
        <f>R143-$U$17</f>
        <v>-37.5</v>
      </c>
    </row>
    <row r="144" spans="1:24" x14ac:dyDescent="0.3">
      <c r="A144" s="1">
        <f t="shared" si="61"/>
        <v>5107</v>
      </c>
      <c r="B144" s="1" t="str">
        <f>B128</f>
        <v>(광역) 얼음 타워</v>
      </c>
      <c r="C144" s="1">
        <v>1</v>
      </c>
      <c r="D144" s="1">
        <f>ROUND(D140*4.2,2)</f>
        <v>239.9</v>
      </c>
      <c r="E144" s="1">
        <f>ROUND(E140*1.25,2)</f>
        <v>3.44</v>
      </c>
      <c r="F144" s="1">
        <f>ROUND(F140*3,2)</f>
        <v>1.8</v>
      </c>
      <c r="G144" s="1" t="b">
        <v>0</v>
      </c>
      <c r="H144" s="1">
        <f>IF(H140*1.8 &lt;= 1, H140*1.8, 1)</f>
        <v>1</v>
      </c>
      <c r="I144" s="1">
        <f>ROUND(I140*2.8,2)</f>
        <v>0.5</v>
      </c>
      <c r="J144" s="1">
        <f>ROUND(J128*5,2)</f>
        <v>2.5</v>
      </c>
      <c r="K144" s="1">
        <v>525</v>
      </c>
      <c r="L144" s="1" t="str">
        <f t="shared" si="62"/>
        <v>Splash</v>
      </c>
      <c r="M144" s="1" t="str">
        <f t="shared" si="59"/>
        <v>Enemy</v>
      </c>
      <c r="N144" s="1" t="s">
        <v>12</v>
      </c>
      <c r="O144" s="1" t="str">
        <f>O128</f>
        <v>Slow</v>
      </c>
      <c r="Q144" s="2">
        <f t="shared" si="57"/>
        <v>25909.200000000001</v>
      </c>
      <c r="R144" s="2">
        <f t="shared" si="58"/>
        <v>64773</v>
      </c>
      <c r="T144" s="2">
        <f t="shared" si="56"/>
        <v>45381.34</v>
      </c>
      <c r="U144" s="2">
        <f t="shared" si="56"/>
        <v>69583.23</v>
      </c>
      <c r="W144" s="3">
        <f>Q144-$T$18</f>
        <v>-19472.139999999996</v>
      </c>
      <c r="X144" s="3">
        <f>R144-$U$18</f>
        <v>-4810.2299999999959</v>
      </c>
    </row>
    <row r="145" spans="1:24" x14ac:dyDescent="0.3">
      <c r="A145" s="1">
        <f t="shared" si="61"/>
        <v>5207</v>
      </c>
      <c r="B145" s="1" t="str">
        <f>B129</f>
        <v>(단일) 얼음 타워</v>
      </c>
      <c r="C145" s="1">
        <v>1</v>
      </c>
      <c r="D145" s="1">
        <f>ROUND(D141*5,2)</f>
        <v>408</v>
      </c>
      <c r="E145" s="1">
        <f t="shared" ref="E145:E146" si="63">ROUND(E141*1.25,2)</f>
        <v>3.44</v>
      </c>
      <c r="F145" s="1">
        <f>ROUND(F141*4,2)</f>
        <v>3.96</v>
      </c>
      <c r="G145" s="1" t="b">
        <v>0</v>
      </c>
      <c r="H145" s="1">
        <f>IF(H141*1.8 &lt;= 1, H141*1.8, 1)</f>
        <v>0.82252800000000004</v>
      </c>
      <c r="I145" s="1">
        <f>ROUND(I141*2.8,2)</f>
        <v>0.28000000000000003</v>
      </c>
      <c r="J145" s="1">
        <f t="shared" si="60"/>
        <v>0</v>
      </c>
      <c r="K145" s="1">
        <v>0</v>
      </c>
      <c r="L145" s="1" t="str">
        <f t="shared" si="62"/>
        <v>Target</v>
      </c>
      <c r="M145" s="1" t="str">
        <f t="shared" si="59"/>
        <v>Enemy</v>
      </c>
      <c r="N145" s="1" t="s">
        <v>12</v>
      </c>
      <c r="O145" s="1" t="s">
        <v>12</v>
      </c>
      <c r="Q145" s="2">
        <f t="shared" si="57"/>
        <v>96940.800000000003</v>
      </c>
      <c r="R145" s="2">
        <f t="shared" si="58"/>
        <v>199003.55</v>
      </c>
      <c r="T145" s="2">
        <f t="shared" si="56"/>
        <v>101106.9</v>
      </c>
      <c r="U145" s="2">
        <f t="shared" si="56"/>
        <v>189869.9</v>
      </c>
      <c r="W145" s="4">
        <f>Q145-$T$19</f>
        <v>-4166.0999999999913</v>
      </c>
      <c r="X145" s="4">
        <f>R145-$U$19</f>
        <v>9133.6499999999942</v>
      </c>
    </row>
    <row r="146" spans="1:24" x14ac:dyDescent="0.3">
      <c r="A146" s="1">
        <f t="shared" si="61"/>
        <v>5307</v>
      </c>
      <c r="B146" s="1" t="str">
        <f>B130</f>
        <v>(함정) 얼음 타워</v>
      </c>
      <c r="C146" s="1">
        <v>1</v>
      </c>
      <c r="D146" s="1">
        <f>ROUND(D142*5,2)</f>
        <v>3750</v>
      </c>
      <c r="E146" s="1">
        <f t="shared" si="63"/>
        <v>3.44</v>
      </c>
      <c r="F146" s="1">
        <f>ROUND(F142*3,2)</f>
        <v>0.15</v>
      </c>
      <c r="G146" s="1" t="b">
        <v>0</v>
      </c>
      <c r="H146" s="1">
        <v>0</v>
      </c>
      <c r="I146" s="1">
        <v>0</v>
      </c>
      <c r="J146" s="1">
        <f t="shared" si="60"/>
        <v>30</v>
      </c>
      <c r="K146" s="1">
        <v>20000</v>
      </c>
      <c r="L146" s="1" t="str">
        <f t="shared" si="62"/>
        <v>Trap</v>
      </c>
      <c r="M146" s="1" t="str">
        <f t="shared" si="59"/>
        <v>Enemy</v>
      </c>
      <c r="N146" s="1" t="s">
        <v>12</v>
      </c>
      <c r="O146" s="1" t="s">
        <v>12</v>
      </c>
      <c r="Q146" s="2">
        <f t="shared" si="57"/>
        <v>33750</v>
      </c>
      <c r="R146" s="2">
        <f t="shared" si="58"/>
        <v>33750</v>
      </c>
      <c r="T146" s="2">
        <f t="shared" si="56"/>
        <v>23557.5</v>
      </c>
      <c r="U146" s="2">
        <f t="shared" si="56"/>
        <v>23557.5</v>
      </c>
      <c r="W146" s="5">
        <f>Q146-$T$20</f>
        <v>10192.5</v>
      </c>
      <c r="X146" s="5">
        <f>R146-$U$20</f>
        <v>10192.5</v>
      </c>
    </row>
    <row r="147" spans="1:24" x14ac:dyDescent="0.3">
      <c r="A147" s="1">
        <f t="shared" si="61"/>
        <v>5407</v>
      </c>
      <c r="B147" s="1" t="str">
        <f>B131</f>
        <v>(버프) 얼음 타워</v>
      </c>
      <c r="C147" s="1">
        <v>1</v>
      </c>
      <c r="D147" s="1">
        <v>0</v>
      </c>
      <c r="E147" s="1">
        <f>E143+3</f>
        <v>9</v>
      </c>
      <c r="F147" s="1">
        <v>1</v>
      </c>
      <c r="G147" s="1" t="b">
        <v>0</v>
      </c>
      <c r="H147" s="1">
        <v>0</v>
      </c>
      <c r="I147" s="1">
        <v>0</v>
      </c>
      <c r="J147" s="1">
        <f t="shared" si="60"/>
        <v>1</v>
      </c>
      <c r="K147" s="1">
        <f>IF(L147="Buff",5,525)</f>
        <v>525</v>
      </c>
      <c r="L147" s="1" t="str">
        <f t="shared" si="62"/>
        <v>Debuff</v>
      </c>
      <c r="M147" s="1" t="str">
        <f t="shared" si="59"/>
        <v>Enemy</v>
      </c>
      <c r="N147" s="1" t="str">
        <f>N143</f>
        <v>None</v>
      </c>
      <c r="O147" s="1" t="str">
        <f>O143</f>
        <v>Slow</v>
      </c>
      <c r="Q147" s="2">
        <f t="shared" si="57"/>
        <v>0</v>
      </c>
      <c r="R147" s="2">
        <f t="shared" si="58"/>
        <v>0</v>
      </c>
      <c r="T147" s="2">
        <f t="shared" si="56"/>
        <v>75</v>
      </c>
      <c r="U147" s="2">
        <f t="shared" si="56"/>
        <v>75</v>
      </c>
      <c r="W147" s="6">
        <f>Q147-$T$21</f>
        <v>-75</v>
      </c>
      <c r="X147" s="6">
        <f>R147-$U$21</f>
        <v>-75</v>
      </c>
    </row>
    <row r="148" spans="1:24" x14ac:dyDescent="0.3">
      <c r="W148" s="6"/>
      <c r="X148" s="6"/>
    </row>
    <row r="149" spans="1:24" x14ac:dyDescent="0.3">
      <c r="A149" s="1">
        <v>1108</v>
      </c>
      <c r="B149" s="1" t="s">
        <v>64</v>
      </c>
      <c r="C149" s="1">
        <v>1</v>
      </c>
      <c r="D149" s="1">
        <v>0.71</v>
      </c>
      <c r="E149" s="1">
        <v>2.5</v>
      </c>
      <c r="F149" s="1">
        <v>0.45</v>
      </c>
      <c r="G149" s="1" t="b">
        <v>0</v>
      </c>
      <c r="H149" s="1">
        <v>5.0000000000000001E-3</v>
      </c>
      <c r="I149" s="1">
        <v>4</v>
      </c>
      <c r="J149" s="1">
        <v>0.5</v>
      </c>
      <c r="K149" s="1">
        <v>8.6957000000000004</v>
      </c>
      <c r="L149" s="1" t="s">
        <v>3</v>
      </c>
      <c r="M149" s="1" t="str">
        <f t="shared" ref="M149:M151" si="64">IF(L149="Buff","Tower","Enemy")</f>
        <v>Enemy</v>
      </c>
      <c r="N149" s="1" t="s">
        <v>12</v>
      </c>
      <c r="O149" s="1" t="s">
        <v>35</v>
      </c>
      <c r="Q149" s="2">
        <f>ROUND(60*(D149*F149),2)</f>
        <v>19.170000000000002</v>
      </c>
      <c r="R149" s="2">
        <f>ROUND((Q149*H149*(2+I149))+Q149*(1-H149),2)</f>
        <v>19.649999999999999</v>
      </c>
      <c r="T149" s="2">
        <f t="shared" ref="T149:U168" si="65">T2</f>
        <v>25.54</v>
      </c>
      <c r="U149" s="2">
        <f t="shared" si="65"/>
        <v>27.01</v>
      </c>
      <c r="W149" s="3">
        <f>Q149-$T$2</f>
        <v>-6.3699999999999974</v>
      </c>
      <c r="X149" s="3">
        <f>R149-$U$2</f>
        <v>-7.360000000000003</v>
      </c>
    </row>
    <row r="150" spans="1:24" x14ac:dyDescent="0.3">
      <c r="A150" s="1">
        <f>A149+100</f>
        <v>1208</v>
      </c>
      <c r="B150" s="1" t="s">
        <v>65</v>
      </c>
      <c r="C150" s="1">
        <v>1</v>
      </c>
      <c r="D150" s="1">
        <v>0.55000000000000004</v>
      </c>
      <c r="E150" s="1">
        <v>2.5</v>
      </c>
      <c r="F150" s="1">
        <v>0.62</v>
      </c>
      <c r="G150" s="1" t="b">
        <v>0</v>
      </c>
      <c r="H150" s="1">
        <v>8.0000000000000002E-3</v>
      </c>
      <c r="I150" s="1">
        <v>3.3</v>
      </c>
      <c r="J150" s="1">
        <v>0</v>
      </c>
      <c r="K150" s="1">
        <v>0</v>
      </c>
      <c r="L150" s="1" t="s">
        <v>4</v>
      </c>
      <c r="M150" s="1" t="str">
        <f t="shared" si="64"/>
        <v>Enemy</v>
      </c>
      <c r="N150" s="1" t="s">
        <v>12</v>
      </c>
      <c r="O150" s="1" t="s">
        <v>12</v>
      </c>
      <c r="Q150" s="2">
        <f t="shared" ref="Q150:Q168" si="66">ROUND(60*(D150*F150),2)</f>
        <v>20.46</v>
      </c>
      <c r="R150" s="2">
        <f t="shared" ref="R150:R168" si="67">ROUND((Q150*H150*(2+I150))+Q150*(1-H150),2)</f>
        <v>21.16</v>
      </c>
      <c r="T150" s="2">
        <f t="shared" si="65"/>
        <v>33.96</v>
      </c>
      <c r="U150" s="2">
        <f t="shared" si="65"/>
        <v>36.51</v>
      </c>
      <c r="W150" s="4">
        <f>Q150-$T$3</f>
        <v>-13.5</v>
      </c>
      <c r="X150" s="4">
        <f>R150-$U$3</f>
        <v>-15.349999999999998</v>
      </c>
    </row>
    <row r="151" spans="1:24" x14ac:dyDescent="0.3">
      <c r="A151" s="1">
        <f>A149+200</f>
        <v>1308</v>
      </c>
      <c r="B151" s="1" t="s">
        <v>66</v>
      </c>
      <c r="C151" s="1">
        <v>1</v>
      </c>
      <c r="D151" s="1">
        <v>5</v>
      </c>
      <c r="E151" s="1">
        <v>2.5</v>
      </c>
      <c r="F151" s="1">
        <v>0.05</v>
      </c>
      <c r="G151" s="1" t="b">
        <v>0</v>
      </c>
      <c r="H151" s="1">
        <v>0</v>
      </c>
      <c r="I151" s="1">
        <v>0</v>
      </c>
      <c r="J151" s="1">
        <v>30</v>
      </c>
      <c r="K151" s="1">
        <v>0</v>
      </c>
      <c r="L151" s="1" t="s">
        <v>5</v>
      </c>
      <c r="M151" s="1" t="str">
        <f t="shared" si="64"/>
        <v>Enemy</v>
      </c>
      <c r="N151" s="1" t="s">
        <v>12</v>
      </c>
      <c r="O151" s="1" t="s">
        <v>12</v>
      </c>
      <c r="Q151" s="2">
        <f t="shared" si="66"/>
        <v>15</v>
      </c>
      <c r="R151" s="2">
        <f t="shared" si="67"/>
        <v>15</v>
      </c>
      <c r="T151" s="2">
        <f t="shared" si="65"/>
        <v>9.08</v>
      </c>
      <c r="U151" s="2">
        <f t="shared" si="65"/>
        <v>9.08</v>
      </c>
      <c r="W151" s="5">
        <f>Q151-$T$4</f>
        <v>5.92</v>
      </c>
      <c r="X151" s="5">
        <f>R151-$U$4</f>
        <v>5.92</v>
      </c>
    </row>
    <row r="152" spans="1:24" x14ac:dyDescent="0.3">
      <c r="A152" s="1">
        <f>A149+300</f>
        <v>1408</v>
      </c>
      <c r="B152" s="1" t="s">
        <v>67</v>
      </c>
      <c r="C152" s="1">
        <v>1</v>
      </c>
      <c r="D152" s="1">
        <v>1</v>
      </c>
      <c r="E152" s="1">
        <v>1</v>
      </c>
      <c r="F152" s="1">
        <v>1</v>
      </c>
      <c r="G152" s="1" t="b">
        <v>0</v>
      </c>
      <c r="H152" s="1">
        <v>0</v>
      </c>
      <c r="I152" s="1">
        <v>0</v>
      </c>
      <c r="J152" s="1">
        <v>1</v>
      </c>
      <c r="K152" s="1">
        <v>10</v>
      </c>
      <c r="L152" s="1" t="s">
        <v>6</v>
      </c>
      <c r="M152" s="1" t="str">
        <f>IF(L152="Buff","Tower","Enemy")</f>
        <v>Tower</v>
      </c>
      <c r="N152" s="1" t="s">
        <v>31</v>
      </c>
      <c r="O152" s="1" t="s">
        <v>12</v>
      </c>
      <c r="Q152" s="2">
        <f t="shared" si="66"/>
        <v>60</v>
      </c>
      <c r="R152" s="2">
        <f t="shared" si="67"/>
        <v>60</v>
      </c>
      <c r="T152" s="2">
        <f t="shared" si="65"/>
        <v>7.5</v>
      </c>
      <c r="U152" s="2">
        <f t="shared" si="65"/>
        <v>7.5</v>
      </c>
      <c r="W152" s="6">
        <f>Q152-$T$5</f>
        <v>52.5</v>
      </c>
      <c r="X152" s="6">
        <f>R152-$U$5</f>
        <v>52.5</v>
      </c>
    </row>
    <row r="153" spans="1:24" x14ac:dyDescent="0.3">
      <c r="A153" s="1">
        <f>A149+1000</f>
        <v>2108</v>
      </c>
      <c r="B153" s="1" t="str">
        <f>B149</f>
        <v>(광역) 전기 타워</v>
      </c>
      <c r="C153" s="1">
        <v>1</v>
      </c>
      <c r="D153" s="1">
        <f>ROUND(D149*1.8,2)</f>
        <v>1.28</v>
      </c>
      <c r="E153" s="1">
        <f>ROUND(E149,2)</f>
        <v>2.5</v>
      </c>
      <c r="F153" s="1">
        <f>ROUND(F149*2.1,2)</f>
        <v>0.95</v>
      </c>
      <c r="G153" s="1" t="b">
        <v>0</v>
      </c>
      <c r="H153" s="1">
        <f>IF(H149*1.2 &lt;= 1, H149*1.2, 1)</f>
        <v>6.0000000000000001E-3</v>
      </c>
      <c r="I153" s="1">
        <f>ROUND(I149*1.2,2)</f>
        <v>4.8</v>
      </c>
      <c r="J153" s="1">
        <f>ROUND(J149*1.5,2)</f>
        <v>0.75</v>
      </c>
      <c r="K153" s="1">
        <v>25</v>
      </c>
      <c r="L153" s="1" t="str">
        <f>L149</f>
        <v>Splash</v>
      </c>
      <c r="M153" s="1" t="str">
        <f t="shared" ref="M153:M168" si="68">IF(L153="Buff","Tower","Enemy")</f>
        <v>Enemy</v>
      </c>
      <c r="N153" s="1" t="s">
        <v>12</v>
      </c>
      <c r="O153" s="1" t="str">
        <f>O149</f>
        <v>Weak</v>
      </c>
      <c r="Q153" s="2">
        <f t="shared" si="66"/>
        <v>72.959999999999994</v>
      </c>
      <c r="R153" s="2">
        <f t="shared" si="67"/>
        <v>75.5</v>
      </c>
      <c r="T153" s="2">
        <f t="shared" si="65"/>
        <v>96.69</v>
      </c>
      <c r="U153" s="2">
        <f t="shared" si="65"/>
        <v>103.51</v>
      </c>
      <c r="W153" s="3">
        <f>Q153-$T$6</f>
        <v>-23.730000000000004</v>
      </c>
      <c r="X153" s="3">
        <f>R153-$U$6</f>
        <v>-28.010000000000005</v>
      </c>
    </row>
    <row r="154" spans="1:24" x14ac:dyDescent="0.3">
      <c r="A154" s="1">
        <f>A150+1000</f>
        <v>2208</v>
      </c>
      <c r="B154" s="1" t="str">
        <f>B150</f>
        <v>(단일) 전기 타워</v>
      </c>
      <c r="C154" s="1">
        <v>1</v>
      </c>
      <c r="D154" s="1">
        <f>ROUND(D150*1.7,2)</f>
        <v>0.94</v>
      </c>
      <c r="E154" s="1">
        <f>ROUND(E150,2)</f>
        <v>2.5</v>
      </c>
      <c r="F154" s="1">
        <f>ROUND(F150*2.2,2)</f>
        <v>1.36</v>
      </c>
      <c r="G154" s="1" t="b">
        <v>0</v>
      </c>
      <c r="H154" s="1">
        <f>IF(H150*1.2 &lt;= 1, H150*1.2, 1)</f>
        <v>9.5999999999999992E-3</v>
      </c>
      <c r="I154" s="1">
        <f>ROUND(I150*1.2,2)</f>
        <v>3.96</v>
      </c>
      <c r="J154" s="1">
        <f t="shared" ref="J154:J168" si="69">J150</f>
        <v>0</v>
      </c>
      <c r="K154" s="1">
        <v>0</v>
      </c>
      <c r="L154" s="1" t="str">
        <f>L150</f>
        <v>Target</v>
      </c>
      <c r="M154" s="1" t="str">
        <f t="shared" si="68"/>
        <v>Enemy</v>
      </c>
      <c r="N154" s="1" t="s">
        <v>12</v>
      </c>
      <c r="O154" s="1" t="s">
        <v>12</v>
      </c>
      <c r="Q154" s="2">
        <f t="shared" si="66"/>
        <v>76.7</v>
      </c>
      <c r="R154" s="2">
        <f t="shared" si="67"/>
        <v>80.349999999999994</v>
      </c>
      <c r="T154" s="2">
        <f t="shared" si="65"/>
        <v>127.57</v>
      </c>
      <c r="U154" s="2">
        <f t="shared" si="65"/>
        <v>139.41</v>
      </c>
      <c r="W154" s="4">
        <f>Q154-$T$7</f>
        <v>-50.86999999999999</v>
      </c>
      <c r="X154" s="4">
        <f>R154-$U$7</f>
        <v>-59.06</v>
      </c>
    </row>
    <row r="155" spans="1:24" x14ac:dyDescent="0.3">
      <c r="A155" s="1">
        <f t="shared" ref="A155:A168" si="70">A151+1000</f>
        <v>2308</v>
      </c>
      <c r="B155" s="1" t="str">
        <f>B151</f>
        <v>(함정) 전기 타워</v>
      </c>
      <c r="C155" s="1">
        <v>1</v>
      </c>
      <c r="D155" s="1">
        <f>ROUND(D151*2,2)</f>
        <v>10</v>
      </c>
      <c r="E155" s="1">
        <f>ROUND(E151,2)</f>
        <v>2.5</v>
      </c>
      <c r="F155" s="1">
        <f>ROUND(F151*2.1,2)</f>
        <v>0.11</v>
      </c>
      <c r="G155" s="1" t="b">
        <v>0</v>
      </c>
      <c r="H155" s="1">
        <v>0</v>
      </c>
      <c r="I155" s="1">
        <v>0</v>
      </c>
      <c r="J155" s="1">
        <f t="shared" si="69"/>
        <v>30</v>
      </c>
      <c r="K155" s="1">
        <v>0</v>
      </c>
      <c r="L155" s="1" t="str">
        <f>L151</f>
        <v>Trap</v>
      </c>
      <c r="M155" s="1" t="str">
        <f t="shared" si="68"/>
        <v>Enemy</v>
      </c>
      <c r="N155" s="1" t="s">
        <v>12</v>
      </c>
      <c r="O155" s="1" t="s">
        <v>12</v>
      </c>
      <c r="Q155" s="2">
        <f t="shared" si="66"/>
        <v>66</v>
      </c>
      <c r="R155" s="2">
        <f t="shared" si="67"/>
        <v>66</v>
      </c>
      <c r="T155" s="2">
        <f t="shared" si="65"/>
        <v>38.28</v>
      </c>
      <c r="U155" s="2">
        <f t="shared" si="65"/>
        <v>38.28</v>
      </c>
      <c r="W155" s="5">
        <f>Q155-$T$8</f>
        <v>27.72</v>
      </c>
      <c r="X155" s="5">
        <f>R155-$U$8</f>
        <v>27.72</v>
      </c>
    </row>
    <row r="156" spans="1:24" x14ac:dyDescent="0.3">
      <c r="A156" s="1">
        <f t="shared" si="70"/>
        <v>2408</v>
      </c>
      <c r="B156" s="1" t="str">
        <f>B152</f>
        <v>(버프) 전기 타워</v>
      </c>
      <c r="C156" s="1">
        <v>1</v>
      </c>
      <c r="D156" s="1">
        <v>2</v>
      </c>
      <c r="E156" s="1">
        <f>E152+0</f>
        <v>1</v>
      </c>
      <c r="F156" s="1">
        <v>1</v>
      </c>
      <c r="G156" s="1" t="b">
        <v>0</v>
      </c>
      <c r="H156" s="1">
        <v>0</v>
      </c>
      <c r="I156" s="1">
        <v>0</v>
      </c>
      <c r="J156" s="1">
        <f t="shared" si="69"/>
        <v>1</v>
      </c>
      <c r="K156" s="1">
        <v>50</v>
      </c>
      <c r="L156" s="1" t="str">
        <f>L152</f>
        <v>Buff</v>
      </c>
      <c r="M156" s="1" t="str">
        <f t="shared" si="68"/>
        <v>Tower</v>
      </c>
      <c r="N156" s="1" t="str">
        <f>N152</f>
        <v>Chain</v>
      </c>
      <c r="O156" s="1" t="str">
        <f>O152</f>
        <v>None</v>
      </c>
      <c r="Q156" s="2">
        <f t="shared" si="66"/>
        <v>120</v>
      </c>
      <c r="R156" s="2">
        <f t="shared" si="67"/>
        <v>120</v>
      </c>
      <c r="T156" s="2">
        <f t="shared" si="65"/>
        <v>15</v>
      </c>
      <c r="U156" s="2">
        <f t="shared" si="65"/>
        <v>15</v>
      </c>
      <c r="W156" s="6">
        <f>Q156-$T$9</f>
        <v>105</v>
      </c>
      <c r="X156" s="6">
        <f>R156-$U$9</f>
        <v>105</v>
      </c>
    </row>
    <row r="157" spans="1:24" x14ac:dyDescent="0.3">
      <c r="A157" s="1">
        <f t="shared" si="70"/>
        <v>3108</v>
      </c>
      <c r="B157" s="1" t="str">
        <f>B149</f>
        <v>(광역) 전기 타워</v>
      </c>
      <c r="C157" s="1">
        <v>1</v>
      </c>
      <c r="D157" s="1">
        <f>ROUND(D153*2.25,2)</f>
        <v>2.88</v>
      </c>
      <c r="E157" s="1">
        <f>ROUND(E153,2)</f>
        <v>2.5</v>
      </c>
      <c r="F157" s="1">
        <f>ROUND(F153*2.2,2)</f>
        <v>2.09</v>
      </c>
      <c r="G157" s="1" t="b">
        <v>0</v>
      </c>
      <c r="H157" s="1">
        <f>IF(H153*1.4 &lt;= 1, H153*1.4, 1)</f>
        <v>8.3999999999999995E-3</v>
      </c>
      <c r="I157" s="1">
        <f>ROUND(I153*1.5,2)</f>
        <v>7.2</v>
      </c>
      <c r="J157" s="1">
        <f>ROUND(J149*2,2)</f>
        <v>1</v>
      </c>
      <c r="K157" s="1">
        <v>60</v>
      </c>
      <c r="L157" s="1" t="str">
        <f t="shared" ref="L157:L168" si="71">L153</f>
        <v>Splash</v>
      </c>
      <c r="M157" s="1" t="str">
        <f t="shared" si="68"/>
        <v>Enemy</v>
      </c>
      <c r="N157" s="1" t="s">
        <v>12</v>
      </c>
      <c r="O157" s="1" t="str">
        <f>O149</f>
        <v>Weak</v>
      </c>
      <c r="Q157" s="2">
        <f t="shared" si="66"/>
        <v>361.15</v>
      </c>
      <c r="R157" s="2">
        <f t="shared" si="67"/>
        <v>386.03</v>
      </c>
      <c r="T157" s="2">
        <f t="shared" si="65"/>
        <v>479.72</v>
      </c>
      <c r="U157" s="2">
        <f t="shared" si="65"/>
        <v>530</v>
      </c>
      <c r="W157" s="3">
        <f>Q157-$T$10</f>
        <v>-118.57000000000005</v>
      </c>
      <c r="X157" s="3">
        <f>R157-$U$10</f>
        <v>-143.97000000000003</v>
      </c>
    </row>
    <row r="158" spans="1:24" x14ac:dyDescent="0.3">
      <c r="A158" s="1">
        <f t="shared" si="70"/>
        <v>3208</v>
      </c>
      <c r="B158" s="1" t="str">
        <f>B150</f>
        <v>(단일) 전기 타워</v>
      </c>
      <c r="C158" s="1">
        <v>1</v>
      </c>
      <c r="D158" s="1">
        <f>ROUND(D154*2,2)</f>
        <v>1.88</v>
      </c>
      <c r="E158" s="1">
        <f>ROUND(E154,2)</f>
        <v>2.5</v>
      </c>
      <c r="F158" s="1">
        <f>ROUND(F154*2.4,2)</f>
        <v>3.26</v>
      </c>
      <c r="G158" s="1" t="b">
        <v>0</v>
      </c>
      <c r="H158" s="1">
        <f>IF(H154*1.4 &lt;= 1, H154*1.4, 1)</f>
        <v>1.3439999999999999E-2</v>
      </c>
      <c r="I158" s="1">
        <f>ROUND(I154*1.5,2)</f>
        <v>5.94</v>
      </c>
      <c r="J158" s="1">
        <f t="shared" si="69"/>
        <v>0</v>
      </c>
      <c r="K158" s="1">
        <v>0</v>
      </c>
      <c r="L158" s="1" t="str">
        <f t="shared" si="71"/>
        <v>Target</v>
      </c>
      <c r="M158" s="1" t="str">
        <f t="shared" si="68"/>
        <v>Enemy</v>
      </c>
      <c r="N158" s="1" t="s">
        <v>12</v>
      </c>
      <c r="O158" s="1" t="s">
        <v>12</v>
      </c>
      <c r="Q158" s="2">
        <f t="shared" si="66"/>
        <v>367.73</v>
      </c>
      <c r="R158" s="2">
        <f t="shared" si="67"/>
        <v>402.03</v>
      </c>
      <c r="T158" s="2">
        <f t="shared" si="65"/>
        <v>612.57000000000005</v>
      </c>
      <c r="U158" s="2">
        <f t="shared" si="65"/>
        <v>699.51</v>
      </c>
      <c r="W158" s="4">
        <f>Q158-$T$11</f>
        <v>-244.84000000000003</v>
      </c>
      <c r="X158" s="4">
        <f>R158-$U$11</f>
        <v>-297.48</v>
      </c>
    </row>
    <row r="159" spans="1:24" x14ac:dyDescent="0.3">
      <c r="A159" s="1">
        <f t="shared" si="70"/>
        <v>3308</v>
      </c>
      <c r="B159" s="1" t="str">
        <f>B151</f>
        <v>(함정) 전기 타워</v>
      </c>
      <c r="C159" s="1">
        <v>1</v>
      </c>
      <c r="D159" s="1">
        <f>ROUND(D155*2.5,2)</f>
        <v>25</v>
      </c>
      <c r="E159" s="1">
        <f>ROUND(E155,2)</f>
        <v>2.5</v>
      </c>
      <c r="F159" s="1">
        <f>ROUND(F155*2.2,2)</f>
        <v>0.24</v>
      </c>
      <c r="G159" s="1" t="b">
        <v>0</v>
      </c>
      <c r="H159" s="1">
        <v>0</v>
      </c>
      <c r="I159" s="1">
        <v>0</v>
      </c>
      <c r="J159" s="1">
        <f t="shared" si="69"/>
        <v>30</v>
      </c>
      <c r="K159" s="1">
        <v>0</v>
      </c>
      <c r="L159" s="1" t="str">
        <f t="shared" si="71"/>
        <v>Trap</v>
      </c>
      <c r="M159" s="1" t="str">
        <f t="shared" si="68"/>
        <v>Enemy</v>
      </c>
      <c r="N159" s="1" t="s">
        <v>12</v>
      </c>
      <c r="O159" s="1" t="s">
        <v>12</v>
      </c>
      <c r="Q159" s="2">
        <f t="shared" si="66"/>
        <v>360</v>
      </c>
      <c r="R159" s="2">
        <f t="shared" si="67"/>
        <v>360</v>
      </c>
      <c r="T159" s="2">
        <f t="shared" si="65"/>
        <v>208.8</v>
      </c>
      <c r="U159" s="2">
        <f t="shared" si="65"/>
        <v>208.8</v>
      </c>
      <c r="W159" s="5">
        <f>Q159-$T$12</f>
        <v>151.19999999999999</v>
      </c>
      <c r="X159" s="5">
        <f>R159-$U$12</f>
        <v>151.19999999999999</v>
      </c>
    </row>
    <row r="160" spans="1:24" x14ac:dyDescent="0.3">
      <c r="A160" s="1">
        <f t="shared" si="70"/>
        <v>3408</v>
      </c>
      <c r="B160" s="1" t="str">
        <f>B152</f>
        <v>(버프) 전기 타워</v>
      </c>
      <c r="C160" s="1">
        <v>1</v>
      </c>
      <c r="D160" s="1">
        <v>3</v>
      </c>
      <c r="E160" s="1">
        <f>E156+1</f>
        <v>2</v>
      </c>
      <c r="F160" s="1">
        <v>1</v>
      </c>
      <c r="G160" s="1" t="b">
        <v>0</v>
      </c>
      <c r="H160" s="1">
        <v>0</v>
      </c>
      <c r="I160" s="1">
        <v>0</v>
      </c>
      <c r="J160" s="1">
        <f t="shared" si="69"/>
        <v>1</v>
      </c>
      <c r="K160" s="1">
        <v>120</v>
      </c>
      <c r="L160" s="1" t="str">
        <f t="shared" si="71"/>
        <v>Buff</v>
      </c>
      <c r="M160" s="1" t="str">
        <f t="shared" si="68"/>
        <v>Tower</v>
      </c>
      <c r="N160" s="1" t="str">
        <f>N156</f>
        <v>Chain</v>
      </c>
      <c r="O160" s="1" t="str">
        <f>O156</f>
        <v>None</v>
      </c>
      <c r="Q160" s="2">
        <f t="shared" si="66"/>
        <v>180</v>
      </c>
      <c r="R160" s="2">
        <f t="shared" si="67"/>
        <v>180</v>
      </c>
      <c r="T160" s="2">
        <f t="shared" si="65"/>
        <v>22.5</v>
      </c>
      <c r="U160" s="2">
        <f t="shared" si="65"/>
        <v>22.5</v>
      </c>
      <c r="W160" s="6">
        <f>Q160-$T$13</f>
        <v>157.5</v>
      </c>
      <c r="X160" s="6">
        <f>R160-$U$13</f>
        <v>157.5</v>
      </c>
    </row>
    <row r="161" spans="1:24" x14ac:dyDescent="0.3">
      <c r="A161" s="1">
        <f t="shared" si="70"/>
        <v>4108</v>
      </c>
      <c r="B161" s="1" t="str">
        <f>B149</f>
        <v>(광역) 전기 타워</v>
      </c>
      <c r="C161" s="1">
        <v>1</v>
      </c>
      <c r="D161" s="1">
        <f>ROUND(D157*3,2)</f>
        <v>8.64</v>
      </c>
      <c r="E161" s="1">
        <f>ROUND(E157*1.1,2)</f>
        <v>2.75</v>
      </c>
      <c r="F161" s="1">
        <f>ROUND(F157*2.5,2)</f>
        <v>5.23</v>
      </c>
      <c r="G161" s="1" t="b">
        <v>0</v>
      </c>
      <c r="H161" s="1">
        <f>IF(H157*1.6 &lt;= 1, H157*1.6, 1)</f>
        <v>1.3440000000000001E-2</v>
      </c>
      <c r="I161" s="1">
        <f>ROUND(I157*2,2)</f>
        <v>14.4</v>
      </c>
      <c r="J161" s="1">
        <f>ROUND(J149*3,2)</f>
        <v>1.5</v>
      </c>
      <c r="K161" s="1">
        <v>150</v>
      </c>
      <c r="L161" s="1" t="str">
        <f t="shared" si="71"/>
        <v>Splash</v>
      </c>
      <c r="M161" s="1" t="str">
        <f t="shared" si="68"/>
        <v>Enemy</v>
      </c>
      <c r="N161" s="1" t="s">
        <v>12</v>
      </c>
      <c r="O161" s="1" t="str">
        <f>O149</f>
        <v>Weak</v>
      </c>
      <c r="Q161" s="2">
        <f t="shared" si="66"/>
        <v>2711.23</v>
      </c>
      <c r="R161" s="2">
        <f t="shared" si="67"/>
        <v>3272.39</v>
      </c>
      <c r="T161" s="2">
        <f t="shared" si="65"/>
        <v>3601.59</v>
      </c>
      <c r="U161" s="2">
        <f t="shared" si="65"/>
        <v>4306.1000000000004</v>
      </c>
      <c r="W161" s="3">
        <f>Q161-$T$14</f>
        <v>-890.36000000000013</v>
      </c>
      <c r="X161" s="3">
        <f>R161-$U$14</f>
        <v>-1033.7100000000005</v>
      </c>
    </row>
    <row r="162" spans="1:24" x14ac:dyDescent="0.3">
      <c r="A162" s="1">
        <f t="shared" si="70"/>
        <v>4208</v>
      </c>
      <c r="B162" s="1" t="str">
        <f>B150</f>
        <v>(단일) 전기 타워</v>
      </c>
      <c r="C162" s="1">
        <v>1</v>
      </c>
      <c r="D162" s="1">
        <f>ROUND(D158*3,2)</f>
        <v>5.64</v>
      </c>
      <c r="E162" s="1">
        <f>ROUND(E158*1.1,2)</f>
        <v>2.75</v>
      </c>
      <c r="F162" s="1">
        <f>ROUND(F158*2.75,2)</f>
        <v>8.9700000000000006</v>
      </c>
      <c r="G162" s="1" t="b">
        <v>0</v>
      </c>
      <c r="H162" s="1">
        <f>IF(H158*1.6 &lt;= 1, H158*1.6, 1)</f>
        <v>2.1503999999999999E-2</v>
      </c>
      <c r="I162" s="1">
        <f>ROUND(I158*2,2)</f>
        <v>11.88</v>
      </c>
      <c r="J162" s="1">
        <f t="shared" si="69"/>
        <v>0</v>
      </c>
      <c r="K162" s="1">
        <v>0</v>
      </c>
      <c r="L162" s="1" t="str">
        <f t="shared" si="71"/>
        <v>Target</v>
      </c>
      <c r="M162" s="1" t="str">
        <f t="shared" si="68"/>
        <v>Enemy</v>
      </c>
      <c r="N162" s="1" t="s">
        <v>12</v>
      </c>
      <c r="O162" s="1" t="s">
        <v>12</v>
      </c>
      <c r="Q162" s="2">
        <f t="shared" si="66"/>
        <v>3035.45</v>
      </c>
      <c r="R162" s="2">
        <f t="shared" si="67"/>
        <v>3876.18</v>
      </c>
      <c r="T162" s="2">
        <f t="shared" si="65"/>
        <v>5055.3500000000004</v>
      </c>
      <c r="U162" s="2">
        <f t="shared" si="65"/>
        <v>6489.95</v>
      </c>
      <c r="W162" s="4">
        <f>Q162-$T$15</f>
        <v>-2019.9000000000005</v>
      </c>
      <c r="X162" s="4">
        <f>R162-$U$15</f>
        <v>-2613.77</v>
      </c>
    </row>
    <row r="163" spans="1:24" x14ac:dyDescent="0.3">
      <c r="A163" s="1">
        <f t="shared" si="70"/>
        <v>4308</v>
      </c>
      <c r="B163" s="1" t="str">
        <f>B151</f>
        <v>(함정) 전기 타워</v>
      </c>
      <c r="C163" s="1">
        <v>1</v>
      </c>
      <c r="D163" s="1">
        <f>ROUND(D159*3,2)</f>
        <v>75</v>
      </c>
      <c r="E163" s="1">
        <f>ROUND(E159*1.1,2)</f>
        <v>2.75</v>
      </c>
      <c r="F163" s="1">
        <f>ROUND(F159*2.5,2)</f>
        <v>0.6</v>
      </c>
      <c r="G163" s="1" t="b">
        <v>0</v>
      </c>
      <c r="H163" s="1">
        <v>0</v>
      </c>
      <c r="I163" s="1">
        <v>0</v>
      </c>
      <c r="J163" s="1">
        <f t="shared" si="69"/>
        <v>30</v>
      </c>
      <c r="K163" s="1">
        <v>0</v>
      </c>
      <c r="L163" s="1" t="str">
        <f t="shared" si="71"/>
        <v>Trap</v>
      </c>
      <c r="M163" s="1" t="str">
        <f t="shared" si="68"/>
        <v>Enemy</v>
      </c>
      <c r="N163" s="1" t="s">
        <v>12</v>
      </c>
      <c r="O163" s="1" t="s">
        <v>12</v>
      </c>
      <c r="Q163" s="2">
        <f t="shared" si="66"/>
        <v>2700</v>
      </c>
      <c r="R163" s="2">
        <f t="shared" si="67"/>
        <v>2700</v>
      </c>
      <c r="T163" s="2">
        <f t="shared" si="65"/>
        <v>1570.5</v>
      </c>
      <c r="U163" s="2">
        <f t="shared" si="65"/>
        <v>1570.5</v>
      </c>
      <c r="W163" s="5">
        <f>Q163-$T$16</f>
        <v>1129.5</v>
      </c>
      <c r="X163" s="5">
        <f>R163-$U$16</f>
        <v>1129.5</v>
      </c>
    </row>
    <row r="164" spans="1:24" x14ac:dyDescent="0.3">
      <c r="A164" s="1">
        <f t="shared" si="70"/>
        <v>4408</v>
      </c>
      <c r="B164" s="1" t="str">
        <f>B152</f>
        <v>(버프) 전기 타워</v>
      </c>
      <c r="C164" s="1">
        <v>1</v>
      </c>
      <c r="D164" s="1">
        <v>5</v>
      </c>
      <c r="E164" s="1">
        <f>E160+2</f>
        <v>4</v>
      </c>
      <c r="F164" s="1">
        <v>1</v>
      </c>
      <c r="G164" s="1" t="b">
        <v>0</v>
      </c>
      <c r="H164" s="1">
        <v>0</v>
      </c>
      <c r="I164" s="1">
        <v>0</v>
      </c>
      <c r="J164" s="1">
        <f t="shared" si="69"/>
        <v>1</v>
      </c>
      <c r="K164" s="1">
        <v>500</v>
      </c>
      <c r="L164" s="1" t="str">
        <f t="shared" si="71"/>
        <v>Buff</v>
      </c>
      <c r="M164" s="1" t="str">
        <f t="shared" si="68"/>
        <v>Tower</v>
      </c>
      <c r="N164" s="1" t="str">
        <f>N160</f>
        <v>Chain</v>
      </c>
      <c r="O164" s="1" t="str">
        <f>O160</f>
        <v>None</v>
      </c>
      <c r="Q164" s="2">
        <f t="shared" si="66"/>
        <v>300</v>
      </c>
      <c r="R164" s="2">
        <f t="shared" si="67"/>
        <v>300</v>
      </c>
      <c r="T164" s="2">
        <f t="shared" si="65"/>
        <v>37.5</v>
      </c>
      <c r="U164" s="2">
        <f t="shared" si="65"/>
        <v>37.5</v>
      </c>
      <c r="W164" s="6">
        <f>Q164-$T$17</f>
        <v>262.5</v>
      </c>
      <c r="X164" s="6">
        <f>R164-$U$17</f>
        <v>262.5</v>
      </c>
    </row>
    <row r="165" spans="1:24" x14ac:dyDescent="0.3">
      <c r="A165" s="1">
        <f t="shared" si="70"/>
        <v>5108</v>
      </c>
      <c r="B165" s="1" t="str">
        <f>B149</f>
        <v>(광역) 전기 타워</v>
      </c>
      <c r="C165" s="1">
        <v>1</v>
      </c>
      <c r="D165" s="1">
        <f>ROUND(D161*4.2,2)</f>
        <v>36.29</v>
      </c>
      <c r="E165" s="1">
        <f>ROUND(E161*1.25,2)</f>
        <v>3.44</v>
      </c>
      <c r="F165" s="1">
        <f>ROUND(F161*3,2)</f>
        <v>15.69</v>
      </c>
      <c r="G165" s="1" t="b">
        <v>0</v>
      </c>
      <c r="H165" s="1">
        <f>IF(H161*1.8 &lt;= 1, H161*1.8, 1)</f>
        <v>2.4192000000000002E-2</v>
      </c>
      <c r="I165" s="1">
        <f>ROUND(I161*2.8,2)</f>
        <v>40.32</v>
      </c>
      <c r="J165" s="1">
        <f>ROUND(J149*5,2)</f>
        <v>2.5</v>
      </c>
      <c r="K165" s="1">
        <v>525</v>
      </c>
      <c r="L165" s="1" t="str">
        <f t="shared" si="71"/>
        <v>Splash</v>
      </c>
      <c r="M165" s="1" t="str">
        <f t="shared" si="68"/>
        <v>Enemy</v>
      </c>
      <c r="N165" s="1" t="s">
        <v>12</v>
      </c>
      <c r="O165" s="1" t="str">
        <f>O149</f>
        <v>Weak</v>
      </c>
      <c r="Q165" s="2">
        <f t="shared" si="66"/>
        <v>34163.410000000003</v>
      </c>
      <c r="R165" s="2">
        <f t="shared" si="67"/>
        <v>68313.61</v>
      </c>
      <c r="T165" s="2">
        <f t="shared" si="65"/>
        <v>45381.34</v>
      </c>
      <c r="U165" s="2">
        <f t="shared" si="65"/>
        <v>69583.23</v>
      </c>
      <c r="W165" s="3">
        <f>Q165-$T$18</f>
        <v>-11217.929999999993</v>
      </c>
      <c r="X165" s="3">
        <f>R165-$U$18</f>
        <v>-1269.6199999999953</v>
      </c>
    </row>
    <row r="166" spans="1:24" x14ac:dyDescent="0.3">
      <c r="A166" s="1">
        <f t="shared" si="70"/>
        <v>5208</v>
      </c>
      <c r="B166" s="1" t="str">
        <f>B150</f>
        <v>(단일) 전기 타워</v>
      </c>
      <c r="C166" s="1">
        <v>1</v>
      </c>
      <c r="D166" s="1">
        <f>ROUND(D162*5,2)</f>
        <v>28.2</v>
      </c>
      <c r="E166" s="1">
        <f t="shared" ref="E166:E167" si="72">ROUND(E162*1.25,2)</f>
        <v>3.44</v>
      </c>
      <c r="F166" s="1">
        <f>ROUND(F162*4,2)</f>
        <v>35.880000000000003</v>
      </c>
      <c r="G166" s="1" t="b">
        <v>0</v>
      </c>
      <c r="H166" s="1">
        <f>IF(H162*1.8 &lt;= 1, H162*1.8, 1)</f>
        <v>3.8707199999999997E-2</v>
      </c>
      <c r="I166" s="1">
        <f>ROUND(I162*2.8,2)</f>
        <v>33.26</v>
      </c>
      <c r="J166" s="1">
        <f t="shared" si="69"/>
        <v>0</v>
      </c>
      <c r="K166" s="1">
        <v>0</v>
      </c>
      <c r="L166" s="1" t="str">
        <f t="shared" si="71"/>
        <v>Target</v>
      </c>
      <c r="M166" s="1" t="str">
        <f t="shared" si="68"/>
        <v>Enemy</v>
      </c>
      <c r="N166" s="1" t="s">
        <v>12</v>
      </c>
      <c r="O166" s="1" t="s">
        <v>12</v>
      </c>
      <c r="Q166" s="2">
        <f t="shared" si="66"/>
        <v>60708.959999999999</v>
      </c>
      <c r="R166" s="2">
        <f t="shared" si="67"/>
        <v>141215.64000000001</v>
      </c>
      <c r="T166" s="2">
        <f t="shared" si="65"/>
        <v>101106.9</v>
      </c>
      <c r="U166" s="2">
        <f t="shared" si="65"/>
        <v>189869.9</v>
      </c>
      <c r="W166" s="4">
        <f>Q166-$T$19</f>
        <v>-40397.939999999995</v>
      </c>
      <c r="X166" s="4">
        <f>R166-$U$19</f>
        <v>-48654.25999999998</v>
      </c>
    </row>
    <row r="167" spans="1:24" x14ac:dyDescent="0.3">
      <c r="A167" s="1">
        <f t="shared" si="70"/>
        <v>5308</v>
      </c>
      <c r="B167" s="1" t="str">
        <f>B151</f>
        <v>(함정) 전기 타워</v>
      </c>
      <c r="C167" s="1">
        <v>1</v>
      </c>
      <c r="D167" s="1">
        <f>ROUND(D163*5,2)</f>
        <v>375</v>
      </c>
      <c r="E167" s="1">
        <f t="shared" si="72"/>
        <v>3.44</v>
      </c>
      <c r="F167" s="1">
        <f>ROUND(F163*3,2)</f>
        <v>1.8</v>
      </c>
      <c r="G167" s="1" t="b">
        <v>0</v>
      </c>
      <c r="H167" s="1">
        <v>0</v>
      </c>
      <c r="I167" s="1">
        <v>0</v>
      </c>
      <c r="J167" s="1">
        <f t="shared" si="69"/>
        <v>30</v>
      </c>
      <c r="K167" s="1">
        <v>0</v>
      </c>
      <c r="L167" s="1" t="str">
        <f t="shared" si="71"/>
        <v>Trap</v>
      </c>
      <c r="M167" s="1" t="str">
        <f t="shared" si="68"/>
        <v>Enemy</v>
      </c>
      <c r="N167" s="1" t="s">
        <v>12</v>
      </c>
      <c r="O167" s="1" t="s">
        <v>12</v>
      </c>
      <c r="Q167" s="2">
        <f t="shared" si="66"/>
        <v>40500</v>
      </c>
      <c r="R167" s="2">
        <f t="shared" si="67"/>
        <v>40500</v>
      </c>
      <c r="T167" s="2">
        <f t="shared" si="65"/>
        <v>23557.5</v>
      </c>
      <c r="U167" s="2">
        <f t="shared" si="65"/>
        <v>23557.5</v>
      </c>
      <c r="W167" s="5">
        <f>Q167-$T$20</f>
        <v>16942.5</v>
      </c>
      <c r="X167" s="5">
        <f>R167-$U$20</f>
        <v>16942.5</v>
      </c>
    </row>
    <row r="168" spans="1:24" x14ac:dyDescent="0.3">
      <c r="A168" s="1">
        <f t="shared" si="70"/>
        <v>5408</v>
      </c>
      <c r="B168" s="1" t="str">
        <f>B152</f>
        <v>(버프) 전기 타워</v>
      </c>
      <c r="C168" s="1">
        <v>1</v>
      </c>
      <c r="D168" s="1">
        <v>10</v>
      </c>
      <c r="E168" s="1">
        <f>E164+3</f>
        <v>7</v>
      </c>
      <c r="F168" s="1">
        <v>1</v>
      </c>
      <c r="G168" s="1" t="b">
        <v>0</v>
      </c>
      <c r="H168" s="1">
        <v>0</v>
      </c>
      <c r="I168" s="1">
        <v>0</v>
      </c>
      <c r="J168" s="1">
        <f t="shared" si="69"/>
        <v>1</v>
      </c>
      <c r="K168" s="1">
        <v>1500</v>
      </c>
      <c r="L168" s="1" t="str">
        <f t="shared" si="71"/>
        <v>Buff</v>
      </c>
      <c r="M168" s="1" t="str">
        <f t="shared" si="68"/>
        <v>Tower</v>
      </c>
      <c r="N168" s="1" t="str">
        <f>N164</f>
        <v>Chain</v>
      </c>
      <c r="O168" s="1" t="str">
        <f>O164</f>
        <v>None</v>
      </c>
      <c r="Q168" s="2">
        <f t="shared" si="66"/>
        <v>600</v>
      </c>
      <c r="R168" s="2">
        <f t="shared" si="67"/>
        <v>600</v>
      </c>
      <c r="T168" s="2">
        <f t="shared" si="65"/>
        <v>75</v>
      </c>
      <c r="U168" s="2">
        <f t="shared" si="65"/>
        <v>75</v>
      </c>
      <c r="W168" s="6">
        <f>Q168-$T$21</f>
        <v>525</v>
      </c>
      <c r="X168" s="6">
        <f>R168-$U$21</f>
        <v>525</v>
      </c>
    </row>
    <row r="169" spans="1:24" x14ac:dyDescent="0.3">
      <c r="W169" s="6"/>
      <c r="X169" s="6"/>
    </row>
    <row r="170" spans="1:24" x14ac:dyDescent="0.3">
      <c r="A170" s="1">
        <v>1109</v>
      </c>
      <c r="B170" s="1" t="s">
        <v>68</v>
      </c>
      <c r="C170" s="1">
        <v>1</v>
      </c>
      <c r="D170" s="1">
        <v>2.2000000000000002</v>
      </c>
      <c r="E170" s="1">
        <v>2.5</v>
      </c>
      <c r="F170" s="1">
        <v>0.18</v>
      </c>
      <c r="G170" s="1" t="b">
        <v>0</v>
      </c>
      <c r="H170" s="1">
        <v>0.14000000000000001</v>
      </c>
      <c r="I170" s="1">
        <v>0.01</v>
      </c>
      <c r="J170" s="1">
        <v>0.5</v>
      </c>
      <c r="K170" s="1">
        <v>8.6957000000000004</v>
      </c>
      <c r="L170" s="1" t="s">
        <v>3</v>
      </c>
      <c r="M170" s="1" t="str">
        <f t="shared" ref="M170:M172" si="73">IF(L170="Buff","Tower","Enemy")</f>
        <v>Enemy</v>
      </c>
      <c r="N170" s="1" t="s">
        <v>12</v>
      </c>
      <c r="O170" s="1" t="s">
        <v>29</v>
      </c>
      <c r="Q170" s="2">
        <f>ROUND(60*(D170*F170),2)</f>
        <v>23.76</v>
      </c>
      <c r="R170" s="2">
        <f>ROUND((Q170*H170*(2+I170))+Q170*(1-H170),2)</f>
        <v>27.12</v>
      </c>
      <c r="T170" s="2">
        <f t="shared" ref="T170:U189" si="74">T2</f>
        <v>25.54</v>
      </c>
      <c r="U170" s="2">
        <f t="shared" si="74"/>
        <v>27.01</v>
      </c>
      <c r="W170" s="3">
        <f>Q170-$T$2</f>
        <v>-1.7799999999999976</v>
      </c>
      <c r="X170" s="3">
        <f>R170-$U$2</f>
        <v>0.10999999999999943</v>
      </c>
    </row>
    <row r="171" spans="1:24" x14ac:dyDescent="0.3">
      <c r="A171" s="1">
        <f>A170+100</f>
        <v>1209</v>
      </c>
      <c r="B171" s="1" t="s">
        <v>69</v>
      </c>
      <c r="C171" s="1">
        <v>1</v>
      </c>
      <c r="D171" s="1">
        <v>0.4</v>
      </c>
      <c r="E171" s="1">
        <v>2.5</v>
      </c>
      <c r="F171" s="1">
        <v>0.87</v>
      </c>
      <c r="G171" s="1" t="b">
        <v>0</v>
      </c>
      <c r="H171" s="1">
        <v>0.10100000000000001</v>
      </c>
      <c r="I171" s="1">
        <v>0.65</v>
      </c>
      <c r="J171" s="1">
        <v>0</v>
      </c>
      <c r="K171" s="1">
        <v>0</v>
      </c>
      <c r="L171" s="1" t="s">
        <v>4</v>
      </c>
      <c r="M171" s="1" t="str">
        <f t="shared" si="73"/>
        <v>Enemy</v>
      </c>
      <c r="N171" s="1" t="s">
        <v>12</v>
      </c>
      <c r="O171" s="1" t="s">
        <v>12</v>
      </c>
      <c r="Q171" s="2">
        <f t="shared" ref="Q171:Q189" si="75">ROUND(60*(D171*F171),2)</f>
        <v>20.88</v>
      </c>
      <c r="R171" s="2">
        <f t="shared" ref="R171:R189" si="76">ROUND((Q171*H171*(2+I171))+Q171*(1-H171),2)</f>
        <v>24.36</v>
      </c>
      <c r="T171" s="2">
        <f t="shared" si="74"/>
        <v>33.96</v>
      </c>
      <c r="U171" s="2">
        <f t="shared" si="74"/>
        <v>36.51</v>
      </c>
      <c r="W171" s="4">
        <f>Q171-$T$3</f>
        <v>-13.080000000000002</v>
      </c>
      <c r="X171" s="4">
        <f>R171-$U$3</f>
        <v>-12.149999999999999</v>
      </c>
    </row>
    <row r="172" spans="1:24" x14ac:dyDescent="0.3">
      <c r="A172" s="1">
        <f>A170+200</f>
        <v>1309</v>
      </c>
      <c r="B172" s="1" t="s">
        <v>70</v>
      </c>
      <c r="C172" s="1">
        <v>1</v>
      </c>
      <c r="D172" s="1">
        <v>2</v>
      </c>
      <c r="E172" s="1">
        <v>2.5</v>
      </c>
      <c r="F172" s="1">
        <v>0.1</v>
      </c>
      <c r="G172" s="1" t="b">
        <v>0</v>
      </c>
      <c r="H172" s="1">
        <v>0</v>
      </c>
      <c r="I172" s="1">
        <v>0</v>
      </c>
      <c r="J172" s="1">
        <v>30</v>
      </c>
      <c r="K172" s="1">
        <v>0</v>
      </c>
      <c r="L172" s="1" t="s">
        <v>5</v>
      </c>
      <c r="M172" s="1" t="str">
        <f t="shared" si="73"/>
        <v>Enemy</v>
      </c>
      <c r="N172" s="1" t="s">
        <v>12</v>
      </c>
      <c r="O172" s="1" t="s">
        <v>12</v>
      </c>
      <c r="Q172" s="2">
        <f t="shared" si="75"/>
        <v>12</v>
      </c>
      <c r="R172" s="2">
        <f t="shared" si="76"/>
        <v>12</v>
      </c>
      <c r="T172" s="2">
        <f t="shared" si="74"/>
        <v>9.08</v>
      </c>
      <c r="U172" s="2">
        <f t="shared" si="74"/>
        <v>9.08</v>
      </c>
      <c r="W172" s="5">
        <f>Q172-$T$4</f>
        <v>2.92</v>
      </c>
      <c r="X172" s="5">
        <f>R172-$U$4</f>
        <v>2.92</v>
      </c>
    </row>
    <row r="173" spans="1:24" x14ac:dyDescent="0.3">
      <c r="A173" s="1">
        <f>A170+300</f>
        <v>1409</v>
      </c>
      <c r="B173" s="1" t="s">
        <v>71</v>
      </c>
      <c r="C173" s="1">
        <v>1</v>
      </c>
      <c r="D173" s="1">
        <v>0</v>
      </c>
      <c r="E173" s="1">
        <v>1</v>
      </c>
      <c r="F173" s="1">
        <v>1</v>
      </c>
      <c r="G173" s="1" t="b">
        <v>0</v>
      </c>
      <c r="H173" s="1">
        <v>0</v>
      </c>
      <c r="I173" s="1">
        <v>0</v>
      </c>
      <c r="J173" s="1">
        <v>1</v>
      </c>
      <c r="K173" s="1">
        <f>IF(L173="Buff",1.2,8.6957)</f>
        <v>1.2</v>
      </c>
      <c r="L173" s="1" t="s">
        <v>6</v>
      </c>
      <c r="M173" s="1" t="str">
        <f>IF(L173="Buff","Tower","Enemy")</f>
        <v>Tower</v>
      </c>
      <c r="N173" s="1" t="s">
        <v>30</v>
      </c>
      <c r="O173" s="1" t="s">
        <v>12</v>
      </c>
      <c r="Q173" s="2">
        <f t="shared" si="75"/>
        <v>0</v>
      </c>
      <c r="R173" s="2">
        <f t="shared" si="76"/>
        <v>0</v>
      </c>
      <c r="T173" s="2">
        <f t="shared" si="74"/>
        <v>7.5</v>
      </c>
      <c r="U173" s="2">
        <f t="shared" si="74"/>
        <v>7.5</v>
      </c>
      <c r="W173" s="6">
        <f>Q173-$T$5</f>
        <v>-7.5</v>
      </c>
      <c r="X173" s="6">
        <f>R173-$U$5</f>
        <v>-7.5</v>
      </c>
    </row>
    <row r="174" spans="1:24" x14ac:dyDescent="0.3">
      <c r="A174" s="1">
        <f>A170+1000</f>
        <v>2109</v>
      </c>
      <c r="B174" s="1" t="str">
        <f>B170</f>
        <v>(광역) 바람 타워</v>
      </c>
      <c r="C174" s="1">
        <v>1</v>
      </c>
      <c r="D174" s="1">
        <f>ROUND(D170*1.8,2)</f>
        <v>3.96</v>
      </c>
      <c r="E174" s="1">
        <f>ROUND(E170,2)</f>
        <v>2.5</v>
      </c>
      <c r="F174" s="1">
        <f>ROUND(F170*2.1,2)</f>
        <v>0.38</v>
      </c>
      <c r="G174" s="1" t="b">
        <v>0</v>
      </c>
      <c r="H174" s="1">
        <f>IF(H170*1.2 &lt;= 1, H170*1.2, 1)</f>
        <v>0.16800000000000001</v>
      </c>
      <c r="I174" s="1">
        <f>ROUND(I170*1.2,2)</f>
        <v>0.01</v>
      </c>
      <c r="J174" s="1">
        <f>ROUND(J170*1.5,2)</f>
        <v>0.75</v>
      </c>
      <c r="K174" s="1">
        <v>25</v>
      </c>
      <c r="L174" s="1" t="str">
        <f>L170</f>
        <v>Splash</v>
      </c>
      <c r="M174" s="1" t="str">
        <f t="shared" ref="M174:M189" si="77">IF(L174="Buff","Tower","Enemy")</f>
        <v>Enemy</v>
      </c>
      <c r="N174" s="1" t="s">
        <v>12</v>
      </c>
      <c r="O174" s="1" t="str">
        <f>O170</f>
        <v>Push</v>
      </c>
      <c r="Q174" s="2">
        <f t="shared" si="75"/>
        <v>90.29</v>
      </c>
      <c r="R174" s="2">
        <f t="shared" si="76"/>
        <v>105.61</v>
      </c>
      <c r="T174" s="2">
        <f t="shared" si="74"/>
        <v>96.69</v>
      </c>
      <c r="U174" s="2">
        <f t="shared" si="74"/>
        <v>103.51</v>
      </c>
      <c r="W174" s="3">
        <f>Q174-$T$6</f>
        <v>-6.3999999999999915</v>
      </c>
      <c r="X174" s="3">
        <f>R174-$U$6</f>
        <v>2.0999999999999943</v>
      </c>
    </row>
    <row r="175" spans="1:24" x14ac:dyDescent="0.3">
      <c r="A175" s="1">
        <f>A171+1000</f>
        <v>2209</v>
      </c>
      <c r="B175" s="1" t="str">
        <f>B171</f>
        <v>(단일) 바람 타워</v>
      </c>
      <c r="C175" s="1">
        <v>1</v>
      </c>
      <c r="D175" s="1">
        <f>ROUND(D171*1.7,2)</f>
        <v>0.68</v>
      </c>
      <c r="E175" s="1">
        <f>ROUND(E171,2)</f>
        <v>2.5</v>
      </c>
      <c r="F175" s="1">
        <f>ROUND(F171*2.2,2)</f>
        <v>1.91</v>
      </c>
      <c r="G175" s="1" t="b">
        <v>0</v>
      </c>
      <c r="H175" s="1">
        <f>IF(H171*1.2 &lt;= 1, H171*1.2, 1)</f>
        <v>0.1212</v>
      </c>
      <c r="I175" s="1">
        <f>ROUND(I171*1.2,2)</f>
        <v>0.78</v>
      </c>
      <c r="J175" s="1">
        <f t="shared" ref="J175:J189" si="78">J171</f>
        <v>0</v>
      </c>
      <c r="K175" s="1">
        <v>0</v>
      </c>
      <c r="L175" s="1" t="str">
        <f>L171</f>
        <v>Target</v>
      </c>
      <c r="M175" s="1" t="str">
        <f t="shared" si="77"/>
        <v>Enemy</v>
      </c>
      <c r="N175" s="1" t="s">
        <v>12</v>
      </c>
      <c r="O175" s="1" t="s">
        <v>12</v>
      </c>
      <c r="Q175" s="2">
        <f t="shared" si="75"/>
        <v>77.930000000000007</v>
      </c>
      <c r="R175" s="2">
        <f t="shared" si="76"/>
        <v>94.74</v>
      </c>
      <c r="T175" s="2">
        <f t="shared" si="74"/>
        <v>127.57</v>
      </c>
      <c r="U175" s="2">
        <f t="shared" si="74"/>
        <v>139.41</v>
      </c>
      <c r="W175" s="4">
        <f>Q175-$T$7</f>
        <v>-49.639999999999986</v>
      </c>
      <c r="X175" s="4">
        <f>R175-$U$7</f>
        <v>-44.67</v>
      </c>
    </row>
    <row r="176" spans="1:24" x14ac:dyDescent="0.3">
      <c r="A176" s="1">
        <f t="shared" ref="A176:A189" si="79">A172+1000</f>
        <v>2309</v>
      </c>
      <c r="B176" s="1" t="str">
        <f>B172</f>
        <v>(함정) 바람 타워</v>
      </c>
      <c r="C176" s="1">
        <v>1</v>
      </c>
      <c r="D176" s="1">
        <f>ROUND(D172*2,2)</f>
        <v>4</v>
      </c>
      <c r="E176" s="1">
        <f>ROUND(E172,2)</f>
        <v>2.5</v>
      </c>
      <c r="F176" s="1">
        <f>ROUND(F172*2.1,2)</f>
        <v>0.21</v>
      </c>
      <c r="G176" s="1" t="b">
        <v>0</v>
      </c>
      <c r="H176" s="1">
        <v>0</v>
      </c>
      <c r="I176" s="1">
        <v>0</v>
      </c>
      <c r="J176" s="1">
        <f t="shared" si="78"/>
        <v>30</v>
      </c>
      <c r="K176" s="1">
        <v>0</v>
      </c>
      <c r="L176" s="1" t="str">
        <f>L172</f>
        <v>Trap</v>
      </c>
      <c r="M176" s="1" t="str">
        <f t="shared" si="77"/>
        <v>Enemy</v>
      </c>
      <c r="N176" s="1" t="s">
        <v>12</v>
      </c>
      <c r="O176" s="1" t="s">
        <v>12</v>
      </c>
      <c r="Q176" s="2">
        <f t="shared" si="75"/>
        <v>50.4</v>
      </c>
      <c r="R176" s="2">
        <f t="shared" si="76"/>
        <v>50.4</v>
      </c>
      <c r="T176" s="2">
        <f t="shared" si="74"/>
        <v>38.28</v>
      </c>
      <c r="U176" s="2">
        <f t="shared" si="74"/>
        <v>38.28</v>
      </c>
      <c r="W176" s="5">
        <f>Q176-$T$8</f>
        <v>12.119999999999997</v>
      </c>
      <c r="X176" s="5">
        <f>R176-$U$8</f>
        <v>12.119999999999997</v>
      </c>
    </row>
    <row r="177" spans="1:24" x14ac:dyDescent="0.3">
      <c r="A177" s="1">
        <f t="shared" si="79"/>
        <v>2409</v>
      </c>
      <c r="B177" s="1" t="str">
        <f>B173</f>
        <v>(버프) 바람 타워</v>
      </c>
      <c r="C177" s="1">
        <v>1</v>
      </c>
      <c r="D177" s="1">
        <v>0</v>
      </c>
      <c r="E177" s="1">
        <f>E173+0</f>
        <v>1</v>
      </c>
      <c r="F177" s="1">
        <v>1</v>
      </c>
      <c r="G177" s="1" t="b">
        <v>0</v>
      </c>
      <c r="H177" s="1">
        <v>0</v>
      </c>
      <c r="I177" s="1">
        <v>0</v>
      </c>
      <c r="J177" s="1">
        <f t="shared" si="78"/>
        <v>1</v>
      </c>
      <c r="K177" s="1">
        <f>IF(L177="Buff",1.4,25)</f>
        <v>1.4</v>
      </c>
      <c r="L177" s="1" t="str">
        <f>L173</f>
        <v>Buff</v>
      </c>
      <c r="M177" s="1" t="str">
        <f t="shared" si="77"/>
        <v>Tower</v>
      </c>
      <c r="N177" s="1" t="str">
        <f>N173</f>
        <v>AttackSpeed</v>
      </c>
      <c r="O177" s="1" t="str">
        <f>O173</f>
        <v>None</v>
      </c>
      <c r="Q177" s="2">
        <f t="shared" si="75"/>
        <v>0</v>
      </c>
      <c r="R177" s="2">
        <f t="shared" si="76"/>
        <v>0</v>
      </c>
      <c r="T177" s="2">
        <f t="shared" si="74"/>
        <v>15</v>
      </c>
      <c r="U177" s="2">
        <f t="shared" si="74"/>
        <v>15</v>
      </c>
      <c r="W177" s="6">
        <f>Q177-$T$9</f>
        <v>-15</v>
      </c>
      <c r="X177" s="6">
        <f>R177-$U$9</f>
        <v>-15</v>
      </c>
    </row>
    <row r="178" spans="1:24" x14ac:dyDescent="0.3">
      <c r="A178" s="1">
        <f t="shared" si="79"/>
        <v>3109</v>
      </c>
      <c r="B178" s="1" t="str">
        <f>B170</f>
        <v>(광역) 바람 타워</v>
      </c>
      <c r="C178" s="1">
        <v>1</v>
      </c>
      <c r="D178" s="1">
        <f>ROUND(D174*2.25,2)</f>
        <v>8.91</v>
      </c>
      <c r="E178" s="1">
        <f>ROUND(E174,2)</f>
        <v>2.5</v>
      </c>
      <c r="F178" s="1">
        <f>ROUND(F174*2.2,2)</f>
        <v>0.84</v>
      </c>
      <c r="G178" s="1" t="b">
        <v>0</v>
      </c>
      <c r="H178" s="1">
        <f>IF(H174*1.4 &lt;= 1, H174*1.4, 1)</f>
        <v>0.23519999999999999</v>
      </c>
      <c r="I178" s="1">
        <f>ROUND(I174*1.5,2)</f>
        <v>0.02</v>
      </c>
      <c r="J178" s="1">
        <f>ROUND(J170*2,2)</f>
        <v>1</v>
      </c>
      <c r="K178" s="1">
        <v>60</v>
      </c>
      <c r="L178" s="1" t="str">
        <f t="shared" ref="L178:L189" si="80">L174</f>
        <v>Splash</v>
      </c>
      <c r="M178" s="1" t="str">
        <f t="shared" si="77"/>
        <v>Enemy</v>
      </c>
      <c r="N178" s="1" t="s">
        <v>12</v>
      </c>
      <c r="O178" s="1" t="str">
        <f>O170</f>
        <v>Push</v>
      </c>
      <c r="Q178" s="2">
        <f t="shared" si="75"/>
        <v>449.06</v>
      </c>
      <c r="R178" s="2">
        <f t="shared" si="76"/>
        <v>556.79</v>
      </c>
      <c r="T178" s="2">
        <f t="shared" si="74"/>
        <v>479.72</v>
      </c>
      <c r="U178" s="2">
        <f t="shared" si="74"/>
        <v>530</v>
      </c>
      <c r="W178" s="3">
        <f>Q178-$T$10</f>
        <v>-30.660000000000025</v>
      </c>
      <c r="X178" s="3">
        <f>R178-$U$10</f>
        <v>26.789999999999964</v>
      </c>
    </row>
    <row r="179" spans="1:24" x14ac:dyDescent="0.3">
      <c r="A179" s="1">
        <f t="shared" si="79"/>
        <v>3209</v>
      </c>
      <c r="B179" s="1" t="str">
        <f>B171</f>
        <v>(단일) 바람 타워</v>
      </c>
      <c r="C179" s="1">
        <v>1</v>
      </c>
      <c r="D179" s="1">
        <f>ROUND(D175*2,2)</f>
        <v>1.36</v>
      </c>
      <c r="E179" s="1">
        <f>ROUND(E175,2)</f>
        <v>2.5</v>
      </c>
      <c r="F179" s="1">
        <f>ROUND(F175*2.4,2)</f>
        <v>4.58</v>
      </c>
      <c r="G179" s="1" t="b">
        <v>0</v>
      </c>
      <c r="H179" s="1">
        <f>IF(H175*1.4 &lt;= 1, H175*1.4, 1)</f>
        <v>0.16968</v>
      </c>
      <c r="I179" s="1">
        <f>ROUND(I175*1.5,2)</f>
        <v>1.17</v>
      </c>
      <c r="J179" s="1">
        <f t="shared" si="78"/>
        <v>0</v>
      </c>
      <c r="K179" s="1">
        <v>0</v>
      </c>
      <c r="L179" s="1" t="str">
        <f t="shared" si="80"/>
        <v>Target</v>
      </c>
      <c r="M179" s="1" t="str">
        <f t="shared" si="77"/>
        <v>Enemy</v>
      </c>
      <c r="N179" s="1" t="s">
        <v>12</v>
      </c>
      <c r="O179" s="1" t="s">
        <v>12</v>
      </c>
      <c r="Q179" s="2">
        <f t="shared" si="75"/>
        <v>373.73</v>
      </c>
      <c r="R179" s="2">
        <f t="shared" si="76"/>
        <v>511.34</v>
      </c>
      <c r="T179" s="2">
        <f t="shared" si="74"/>
        <v>612.57000000000005</v>
      </c>
      <c r="U179" s="2">
        <f t="shared" si="74"/>
        <v>699.51</v>
      </c>
      <c r="W179" s="4">
        <f>Q179-$T$11</f>
        <v>-238.84000000000003</v>
      </c>
      <c r="X179" s="4">
        <f>R179-$U$11</f>
        <v>-188.17000000000002</v>
      </c>
    </row>
    <row r="180" spans="1:24" x14ac:dyDescent="0.3">
      <c r="A180" s="1">
        <f t="shared" si="79"/>
        <v>3309</v>
      </c>
      <c r="B180" s="1" t="str">
        <f>B172</f>
        <v>(함정) 바람 타워</v>
      </c>
      <c r="C180" s="1">
        <v>1</v>
      </c>
      <c r="D180" s="1">
        <f>ROUND(D176*2.5,2)</f>
        <v>10</v>
      </c>
      <c r="E180" s="1">
        <f>ROUND(E176,2)</f>
        <v>2.5</v>
      </c>
      <c r="F180" s="1">
        <f>ROUND(F176*2.2,2)</f>
        <v>0.46</v>
      </c>
      <c r="G180" s="1" t="b">
        <v>0</v>
      </c>
      <c r="H180" s="1">
        <v>0</v>
      </c>
      <c r="I180" s="1">
        <v>0</v>
      </c>
      <c r="J180" s="1">
        <f t="shared" si="78"/>
        <v>30</v>
      </c>
      <c r="K180" s="1">
        <v>0</v>
      </c>
      <c r="L180" s="1" t="str">
        <f t="shared" si="80"/>
        <v>Trap</v>
      </c>
      <c r="M180" s="1" t="str">
        <f t="shared" si="77"/>
        <v>Enemy</v>
      </c>
      <c r="N180" s="1" t="s">
        <v>12</v>
      </c>
      <c r="O180" s="1" t="s">
        <v>12</v>
      </c>
      <c r="Q180" s="2">
        <f t="shared" si="75"/>
        <v>276</v>
      </c>
      <c r="R180" s="2">
        <f t="shared" si="76"/>
        <v>276</v>
      </c>
      <c r="T180" s="2">
        <f t="shared" si="74"/>
        <v>208.8</v>
      </c>
      <c r="U180" s="2">
        <f t="shared" si="74"/>
        <v>208.8</v>
      </c>
      <c r="W180" s="5">
        <f>Q180-$T$12</f>
        <v>67.199999999999989</v>
      </c>
      <c r="X180" s="5">
        <f>R180-$U$12</f>
        <v>67.199999999999989</v>
      </c>
    </row>
    <row r="181" spans="1:24" x14ac:dyDescent="0.3">
      <c r="A181" s="1">
        <f t="shared" si="79"/>
        <v>3409</v>
      </c>
      <c r="B181" s="1" t="str">
        <f>B173</f>
        <v>(버프) 바람 타워</v>
      </c>
      <c r="C181" s="1">
        <v>1</v>
      </c>
      <c r="D181" s="1">
        <v>0</v>
      </c>
      <c r="E181" s="1">
        <f>E177+1</f>
        <v>2</v>
      </c>
      <c r="F181" s="1">
        <v>1</v>
      </c>
      <c r="G181" s="1" t="b">
        <v>0</v>
      </c>
      <c r="H181" s="1">
        <v>0</v>
      </c>
      <c r="I181" s="1">
        <v>0</v>
      </c>
      <c r="J181" s="1">
        <f t="shared" si="78"/>
        <v>1</v>
      </c>
      <c r="K181" s="1">
        <f>IF(L181="Buff",2,60)</f>
        <v>2</v>
      </c>
      <c r="L181" s="1" t="str">
        <f t="shared" si="80"/>
        <v>Buff</v>
      </c>
      <c r="M181" s="1" t="str">
        <f t="shared" si="77"/>
        <v>Tower</v>
      </c>
      <c r="N181" s="1" t="str">
        <f>N177</f>
        <v>AttackSpeed</v>
      </c>
      <c r="O181" s="1" t="str">
        <f>O177</f>
        <v>None</v>
      </c>
      <c r="Q181" s="2">
        <f t="shared" si="75"/>
        <v>0</v>
      </c>
      <c r="R181" s="2">
        <f t="shared" si="76"/>
        <v>0</v>
      </c>
      <c r="T181" s="2">
        <f t="shared" si="74"/>
        <v>22.5</v>
      </c>
      <c r="U181" s="2">
        <f t="shared" si="74"/>
        <v>22.5</v>
      </c>
      <c r="W181" s="6">
        <f>Q181-$T$13</f>
        <v>-22.5</v>
      </c>
      <c r="X181" s="6">
        <f>R181-$U$13</f>
        <v>-22.5</v>
      </c>
    </row>
    <row r="182" spans="1:24" x14ac:dyDescent="0.3">
      <c r="A182" s="1">
        <f t="shared" si="79"/>
        <v>4109</v>
      </c>
      <c r="B182" s="1" t="str">
        <f>B170</f>
        <v>(광역) 바람 타워</v>
      </c>
      <c r="C182" s="1">
        <v>1</v>
      </c>
      <c r="D182" s="1">
        <f>ROUND(D178*3,2)</f>
        <v>26.73</v>
      </c>
      <c r="E182" s="1">
        <f>ROUND(E178*1.1,2)</f>
        <v>2.75</v>
      </c>
      <c r="F182" s="1">
        <f>ROUND(F178*2.5,2)</f>
        <v>2.1</v>
      </c>
      <c r="G182" s="1" t="b">
        <v>0</v>
      </c>
      <c r="H182" s="1">
        <f>IF(H178*1.6 &lt;= 1, H178*1.6, 1)</f>
        <v>0.37631999999999999</v>
      </c>
      <c r="I182" s="1">
        <f>ROUND(I178*2,2)</f>
        <v>0.04</v>
      </c>
      <c r="J182" s="1">
        <f>ROUND(J170*3,2)</f>
        <v>1.5</v>
      </c>
      <c r="K182" s="1">
        <v>150</v>
      </c>
      <c r="L182" s="1" t="str">
        <f t="shared" si="80"/>
        <v>Splash</v>
      </c>
      <c r="M182" s="1" t="str">
        <f t="shared" si="77"/>
        <v>Enemy</v>
      </c>
      <c r="N182" s="1" t="s">
        <v>12</v>
      </c>
      <c r="O182" s="1" t="str">
        <f>O170</f>
        <v>Push</v>
      </c>
      <c r="Q182" s="2">
        <f t="shared" si="75"/>
        <v>3367.98</v>
      </c>
      <c r="R182" s="2">
        <f t="shared" si="76"/>
        <v>4686.12</v>
      </c>
      <c r="T182" s="2">
        <f t="shared" si="74"/>
        <v>3601.59</v>
      </c>
      <c r="U182" s="2">
        <f t="shared" si="74"/>
        <v>4306.1000000000004</v>
      </c>
      <c r="W182" s="3">
        <f>Q182-$T$14</f>
        <v>-233.61000000000013</v>
      </c>
      <c r="X182" s="3">
        <f>R182-$U$14</f>
        <v>380.01999999999953</v>
      </c>
    </row>
    <row r="183" spans="1:24" x14ac:dyDescent="0.3">
      <c r="A183" s="1">
        <f t="shared" si="79"/>
        <v>4209</v>
      </c>
      <c r="B183" s="1" t="str">
        <f>B171</f>
        <v>(단일) 바람 타워</v>
      </c>
      <c r="C183" s="1">
        <v>1</v>
      </c>
      <c r="D183" s="1">
        <f>ROUND(D179*3,2)</f>
        <v>4.08</v>
      </c>
      <c r="E183" s="1">
        <f>ROUND(E179*1.1,2)</f>
        <v>2.75</v>
      </c>
      <c r="F183" s="1">
        <f>ROUND(F179*2.75,2)</f>
        <v>12.6</v>
      </c>
      <c r="G183" s="1" t="b">
        <v>0</v>
      </c>
      <c r="H183" s="1">
        <f>IF(H179*1.6 &lt;= 1, H179*1.6, 1)</f>
        <v>0.27148800000000001</v>
      </c>
      <c r="I183" s="1">
        <f>ROUND(I179*2,2)</f>
        <v>2.34</v>
      </c>
      <c r="J183" s="1">
        <f t="shared" si="78"/>
        <v>0</v>
      </c>
      <c r="K183" s="1">
        <v>0</v>
      </c>
      <c r="L183" s="1" t="str">
        <f t="shared" si="80"/>
        <v>Target</v>
      </c>
      <c r="M183" s="1" t="str">
        <f t="shared" si="77"/>
        <v>Enemy</v>
      </c>
      <c r="N183" s="1" t="s">
        <v>12</v>
      </c>
      <c r="O183" s="1" t="s">
        <v>12</v>
      </c>
      <c r="Q183" s="2">
        <f t="shared" si="75"/>
        <v>3084.48</v>
      </c>
      <c r="R183" s="2">
        <f t="shared" si="76"/>
        <v>5881.39</v>
      </c>
      <c r="T183" s="2">
        <f t="shared" si="74"/>
        <v>5055.3500000000004</v>
      </c>
      <c r="U183" s="2">
        <f t="shared" si="74"/>
        <v>6489.95</v>
      </c>
      <c r="W183" s="4">
        <f>Q183-$T$15</f>
        <v>-1970.8700000000003</v>
      </c>
      <c r="X183" s="4">
        <f>R183-$U$15</f>
        <v>-608.55999999999949</v>
      </c>
    </row>
    <row r="184" spans="1:24" x14ac:dyDescent="0.3">
      <c r="A184" s="1">
        <f t="shared" si="79"/>
        <v>4309</v>
      </c>
      <c r="B184" s="1" t="str">
        <f>B172</f>
        <v>(함정) 바람 타워</v>
      </c>
      <c r="C184" s="1">
        <v>1</v>
      </c>
      <c r="D184" s="1">
        <f>ROUND(D180*3,2)</f>
        <v>30</v>
      </c>
      <c r="E184" s="1">
        <f>ROUND(E180*1.1,2)</f>
        <v>2.75</v>
      </c>
      <c r="F184" s="1">
        <f>ROUND(F180*2.5,2)</f>
        <v>1.1499999999999999</v>
      </c>
      <c r="G184" s="1" t="b">
        <v>0</v>
      </c>
      <c r="H184" s="1">
        <v>0</v>
      </c>
      <c r="I184" s="1">
        <v>0</v>
      </c>
      <c r="J184" s="1">
        <f t="shared" si="78"/>
        <v>30</v>
      </c>
      <c r="K184" s="1">
        <v>0</v>
      </c>
      <c r="L184" s="1" t="str">
        <f t="shared" si="80"/>
        <v>Trap</v>
      </c>
      <c r="M184" s="1" t="str">
        <f t="shared" si="77"/>
        <v>Enemy</v>
      </c>
      <c r="N184" s="1" t="s">
        <v>12</v>
      </c>
      <c r="O184" s="1" t="s">
        <v>12</v>
      </c>
      <c r="Q184" s="2">
        <f t="shared" si="75"/>
        <v>2070</v>
      </c>
      <c r="R184" s="2">
        <f t="shared" si="76"/>
        <v>2070</v>
      </c>
      <c r="T184" s="2">
        <f t="shared" si="74"/>
        <v>1570.5</v>
      </c>
      <c r="U184" s="2">
        <f t="shared" si="74"/>
        <v>1570.5</v>
      </c>
      <c r="W184" s="5">
        <f>Q184-$T$16</f>
        <v>499.5</v>
      </c>
      <c r="X184" s="5">
        <f>R184-$U$16</f>
        <v>499.5</v>
      </c>
    </row>
    <row r="185" spans="1:24" x14ac:dyDescent="0.3">
      <c r="A185" s="1">
        <f t="shared" si="79"/>
        <v>4409</v>
      </c>
      <c r="B185" s="1" t="str">
        <f>B173</f>
        <v>(버프) 바람 타워</v>
      </c>
      <c r="C185" s="1">
        <v>1</v>
      </c>
      <c r="D185" s="1">
        <v>0</v>
      </c>
      <c r="E185" s="1">
        <f>E181+2</f>
        <v>4</v>
      </c>
      <c r="F185" s="1">
        <v>1</v>
      </c>
      <c r="G185" s="1" t="b">
        <v>0</v>
      </c>
      <c r="H185" s="1">
        <v>0</v>
      </c>
      <c r="I185" s="1">
        <v>0</v>
      </c>
      <c r="J185" s="1">
        <f t="shared" si="78"/>
        <v>1</v>
      </c>
      <c r="K185" s="1">
        <f>IF(L185="Buff",3,150)</f>
        <v>3</v>
      </c>
      <c r="L185" s="1" t="str">
        <f t="shared" si="80"/>
        <v>Buff</v>
      </c>
      <c r="M185" s="1" t="str">
        <f t="shared" si="77"/>
        <v>Tower</v>
      </c>
      <c r="N185" s="1" t="str">
        <f>N181</f>
        <v>AttackSpeed</v>
      </c>
      <c r="O185" s="1" t="str">
        <f>O181</f>
        <v>None</v>
      </c>
      <c r="Q185" s="2">
        <f t="shared" si="75"/>
        <v>0</v>
      </c>
      <c r="R185" s="2">
        <f t="shared" si="76"/>
        <v>0</v>
      </c>
      <c r="T185" s="2">
        <f t="shared" si="74"/>
        <v>37.5</v>
      </c>
      <c r="U185" s="2">
        <f t="shared" si="74"/>
        <v>37.5</v>
      </c>
      <c r="W185" s="6">
        <f>Q185-$T$17</f>
        <v>-37.5</v>
      </c>
      <c r="X185" s="6">
        <f>R185-$U$17</f>
        <v>-37.5</v>
      </c>
    </row>
    <row r="186" spans="1:24" x14ac:dyDescent="0.3">
      <c r="A186" s="1">
        <f t="shared" si="79"/>
        <v>5109</v>
      </c>
      <c r="B186" s="1" t="str">
        <f>B170</f>
        <v>(광역) 바람 타워</v>
      </c>
      <c r="C186" s="1">
        <v>1</v>
      </c>
      <c r="D186" s="1">
        <f>ROUND(D182*4.2,2)</f>
        <v>112.27</v>
      </c>
      <c r="E186" s="1">
        <f>ROUND(E182*1.25,2)</f>
        <v>3.44</v>
      </c>
      <c r="F186" s="1">
        <f>ROUND(F182*3,2)</f>
        <v>6.3</v>
      </c>
      <c r="G186" s="1" t="b">
        <v>0</v>
      </c>
      <c r="H186" s="1">
        <f>IF(H182*1.8 &lt;= 1, H182*1.8, 1)</f>
        <v>0.67737599999999998</v>
      </c>
      <c r="I186" s="1">
        <f>ROUND(I182*2.8,2)</f>
        <v>0.11</v>
      </c>
      <c r="J186" s="1">
        <f>ROUND(J170*5,2)</f>
        <v>2.5</v>
      </c>
      <c r="K186" s="1">
        <v>525</v>
      </c>
      <c r="L186" s="1" t="str">
        <f t="shared" si="80"/>
        <v>Splash</v>
      </c>
      <c r="M186" s="1" t="str">
        <f t="shared" si="77"/>
        <v>Enemy</v>
      </c>
      <c r="N186" s="1" t="s">
        <v>12</v>
      </c>
      <c r="O186" s="1" t="str">
        <f>O170</f>
        <v>Push</v>
      </c>
      <c r="Q186" s="2">
        <f t="shared" si="75"/>
        <v>42438.06</v>
      </c>
      <c r="R186" s="2">
        <f t="shared" si="76"/>
        <v>74346.7</v>
      </c>
      <c r="T186" s="2">
        <f t="shared" si="74"/>
        <v>45381.34</v>
      </c>
      <c r="U186" s="2">
        <f t="shared" si="74"/>
        <v>69583.23</v>
      </c>
      <c r="W186" s="3">
        <f>Q186-$T$18</f>
        <v>-2943.2799999999988</v>
      </c>
      <c r="X186" s="3">
        <f>R186-$U$18</f>
        <v>4763.4700000000012</v>
      </c>
    </row>
    <row r="187" spans="1:24" x14ac:dyDescent="0.3">
      <c r="A187" s="1">
        <f t="shared" si="79"/>
        <v>5209</v>
      </c>
      <c r="B187" s="1" t="str">
        <f>B171</f>
        <v>(단일) 바람 타워</v>
      </c>
      <c r="C187" s="1">
        <v>1</v>
      </c>
      <c r="D187" s="1">
        <f>ROUND(D183*5,2)</f>
        <v>20.399999999999999</v>
      </c>
      <c r="E187" s="1">
        <f t="shared" ref="E187:E188" si="81">ROUND(E183*1.25,2)</f>
        <v>3.44</v>
      </c>
      <c r="F187" s="1">
        <f>ROUND(F183*4,2)</f>
        <v>50.4</v>
      </c>
      <c r="G187" s="1" t="b">
        <v>0</v>
      </c>
      <c r="H187" s="1">
        <f>IF(H183*1.8 &lt;= 1, H183*1.8, 1)</f>
        <v>0.48867840000000001</v>
      </c>
      <c r="I187" s="1">
        <f>ROUND(I183*2.8,2)</f>
        <v>6.55</v>
      </c>
      <c r="J187" s="1">
        <f t="shared" si="78"/>
        <v>0</v>
      </c>
      <c r="K187" s="1">
        <v>0</v>
      </c>
      <c r="L187" s="1" t="str">
        <f t="shared" si="80"/>
        <v>Target</v>
      </c>
      <c r="M187" s="1" t="str">
        <f t="shared" si="77"/>
        <v>Enemy</v>
      </c>
      <c r="N187" s="1" t="s">
        <v>12</v>
      </c>
      <c r="O187" s="1" t="s">
        <v>12</v>
      </c>
      <c r="Q187" s="2">
        <f t="shared" si="75"/>
        <v>61689.599999999999</v>
      </c>
      <c r="R187" s="2">
        <f t="shared" si="76"/>
        <v>289294.73</v>
      </c>
      <c r="T187" s="2">
        <f t="shared" si="74"/>
        <v>101106.9</v>
      </c>
      <c r="U187" s="2">
        <f t="shared" si="74"/>
        <v>189869.9</v>
      </c>
      <c r="W187" s="4">
        <f>Q187-$T$19</f>
        <v>-39417.299999999996</v>
      </c>
      <c r="X187" s="4">
        <f>R187-$U$19</f>
        <v>99424.829999999987</v>
      </c>
    </row>
    <row r="188" spans="1:24" x14ac:dyDescent="0.3">
      <c r="A188" s="1">
        <f t="shared" si="79"/>
        <v>5309</v>
      </c>
      <c r="B188" s="1" t="str">
        <f>B172</f>
        <v>(함정) 바람 타워</v>
      </c>
      <c r="C188" s="1">
        <v>1</v>
      </c>
      <c r="D188" s="1">
        <f>ROUND(D184*5,2)</f>
        <v>150</v>
      </c>
      <c r="E188" s="1">
        <f t="shared" si="81"/>
        <v>3.44</v>
      </c>
      <c r="F188" s="1">
        <f>ROUND(F184*3,2)</f>
        <v>3.45</v>
      </c>
      <c r="G188" s="1" t="b">
        <v>0</v>
      </c>
      <c r="H188" s="1">
        <v>0</v>
      </c>
      <c r="I188" s="1">
        <v>0</v>
      </c>
      <c r="J188" s="1">
        <f t="shared" si="78"/>
        <v>30</v>
      </c>
      <c r="K188" s="1">
        <v>0</v>
      </c>
      <c r="L188" s="1" t="str">
        <f t="shared" si="80"/>
        <v>Trap</v>
      </c>
      <c r="M188" s="1" t="str">
        <f t="shared" si="77"/>
        <v>Enemy</v>
      </c>
      <c r="N188" s="1" t="s">
        <v>12</v>
      </c>
      <c r="O188" s="1" t="s">
        <v>12</v>
      </c>
      <c r="Q188" s="2">
        <f t="shared" si="75"/>
        <v>31050</v>
      </c>
      <c r="R188" s="2">
        <f t="shared" si="76"/>
        <v>31050</v>
      </c>
      <c r="T188" s="2">
        <f t="shared" si="74"/>
        <v>23557.5</v>
      </c>
      <c r="U188" s="2">
        <f t="shared" si="74"/>
        <v>23557.5</v>
      </c>
      <c r="W188" s="5">
        <f>Q188-$T$20</f>
        <v>7492.5</v>
      </c>
      <c r="X188" s="5">
        <f>R188-$U$20</f>
        <v>7492.5</v>
      </c>
    </row>
    <row r="189" spans="1:24" x14ac:dyDescent="0.3">
      <c r="A189" s="1">
        <f t="shared" si="79"/>
        <v>5409</v>
      </c>
      <c r="B189" s="1" t="str">
        <f>B173</f>
        <v>(버프) 바람 타워</v>
      </c>
      <c r="C189" s="1">
        <v>1</v>
      </c>
      <c r="D189" s="1">
        <v>0</v>
      </c>
      <c r="E189" s="1">
        <f>E185+3</f>
        <v>7</v>
      </c>
      <c r="F189" s="1">
        <v>1</v>
      </c>
      <c r="G189" s="1" t="b">
        <v>0</v>
      </c>
      <c r="H189" s="1">
        <v>0</v>
      </c>
      <c r="I189" s="1">
        <v>0</v>
      </c>
      <c r="J189" s="1">
        <f t="shared" si="78"/>
        <v>1</v>
      </c>
      <c r="K189" s="1">
        <f>IF(L189="Buff",5,525)</f>
        <v>5</v>
      </c>
      <c r="L189" s="1" t="str">
        <f t="shared" si="80"/>
        <v>Buff</v>
      </c>
      <c r="M189" s="1" t="str">
        <f t="shared" si="77"/>
        <v>Tower</v>
      </c>
      <c r="N189" s="1" t="str">
        <f>N185</f>
        <v>AttackSpeed</v>
      </c>
      <c r="O189" s="1" t="str">
        <f>O185</f>
        <v>None</v>
      </c>
      <c r="Q189" s="2">
        <f t="shared" si="75"/>
        <v>0</v>
      </c>
      <c r="R189" s="2">
        <f t="shared" si="76"/>
        <v>0</v>
      </c>
      <c r="T189" s="2">
        <f t="shared" si="74"/>
        <v>75</v>
      </c>
      <c r="U189" s="2">
        <f t="shared" si="74"/>
        <v>75</v>
      </c>
      <c r="W189" s="6">
        <f>Q189-$T$21</f>
        <v>-75</v>
      </c>
      <c r="X189" s="6">
        <f>R189-$U$21</f>
        <v>-75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TowerDataCSV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2026-06-29T02:28:34Z</dcterms:created>
  <dcterms:modified xsi:type="dcterms:W3CDTF">2026-07-14T01:00:16Z</dcterms:modified>
</cp:coreProperties>
</file>