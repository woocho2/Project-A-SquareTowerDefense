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 A 0629\Project A 0629\Assets\12. DataCSV\"/>
    </mc:Choice>
  </mc:AlternateContent>
  <xr:revisionPtr revIDLastSave="0" documentId="13_ncr:1_{1DD506E7-E8CA-4534-A7BA-227C65BF66BC}" xr6:coauthVersionLast="47" xr6:coauthVersionMax="47" xr10:uidLastSave="{00000000-0000-0000-0000-000000000000}"/>
  <bookViews>
    <workbookView minimized="1" xWindow="7920" yWindow="1515" windowWidth="12390" windowHeight="11385" xr2:uid="{0839ADDF-7488-4E1B-B239-CEF5A2CAADC9}"/>
  </bookViews>
  <sheets>
    <sheet name="Sheet1" sheetId="1" r:id="rId1"/>
  </sheets>
  <externalReferences>
    <externalReference r:id="rId2"/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" i="1" l="1"/>
  <c r="C3" i="1" s="1"/>
  <c r="B4" i="1"/>
  <c r="B5" i="1"/>
  <c r="B8" i="1"/>
  <c r="C8" i="1" s="1"/>
  <c r="B9" i="1"/>
  <c r="B12" i="1"/>
  <c r="C12" i="1" s="1"/>
  <c r="B13" i="1"/>
  <c r="C13" i="1" s="1"/>
  <c r="B16" i="1"/>
  <c r="B17" i="1"/>
  <c r="B20" i="1"/>
  <c r="B21" i="1"/>
  <c r="D9" i="1"/>
  <c r="H13" i="1"/>
  <c r="I13" i="1"/>
  <c r="B105" i="1"/>
  <c r="C105" i="1" s="1"/>
  <c r="K21" i="1" s="1"/>
  <c r="B104" i="1"/>
  <c r="C104" i="1" s="1"/>
  <c r="K20" i="1" s="1"/>
  <c r="B101" i="1"/>
  <c r="C101" i="1" s="1"/>
  <c r="K17" i="1" s="1"/>
  <c r="B100" i="1"/>
  <c r="C100" i="1" s="1"/>
  <c r="K16" i="1" s="1"/>
  <c r="B99" i="1"/>
  <c r="C99" i="1" s="1"/>
  <c r="K15" i="1" s="1"/>
  <c r="B97" i="1"/>
  <c r="C97" i="1" s="1"/>
  <c r="K13" i="1" s="1"/>
  <c r="B96" i="1"/>
  <c r="C96" i="1" s="1"/>
  <c r="K12" i="1" s="1"/>
  <c r="B93" i="1"/>
  <c r="C93" i="1" s="1"/>
  <c r="K9" i="1" s="1"/>
  <c r="B92" i="1"/>
  <c r="C92" i="1" s="1"/>
  <c r="K8" i="1" s="1"/>
  <c r="B89" i="1"/>
  <c r="C89" i="1" s="1"/>
  <c r="K5" i="1" s="1"/>
  <c r="B88" i="1"/>
  <c r="C88" i="1" s="1"/>
  <c r="K4" i="1" s="1"/>
  <c r="B87" i="1"/>
  <c r="C87" i="1" s="1"/>
  <c r="K3" i="1" s="1"/>
  <c r="B86" i="1"/>
  <c r="C86" i="1" s="1"/>
  <c r="K2" i="1" s="1"/>
  <c r="B84" i="1"/>
  <c r="C84" i="1" s="1"/>
  <c r="I21" i="1" s="1"/>
  <c r="B83" i="1"/>
  <c r="C83" i="1" s="1"/>
  <c r="I20" i="1" s="1"/>
  <c r="B82" i="1"/>
  <c r="C82" i="1" s="1"/>
  <c r="I19" i="1" s="1"/>
  <c r="B81" i="1"/>
  <c r="H18" i="1" s="1"/>
  <c r="B80" i="1"/>
  <c r="C80" i="1" s="1"/>
  <c r="I17" i="1" s="1"/>
  <c r="B79" i="1"/>
  <c r="C79" i="1" s="1"/>
  <c r="I16" i="1" s="1"/>
  <c r="B78" i="1"/>
  <c r="H15" i="1" s="1"/>
  <c r="B77" i="1"/>
  <c r="H14" i="1" s="1"/>
  <c r="B76" i="1"/>
  <c r="C76" i="1" s="1"/>
  <c r="B75" i="1"/>
  <c r="C75" i="1" s="1"/>
  <c r="I12" i="1" s="1"/>
  <c r="B74" i="1"/>
  <c r="H11" i="1" s="1"/>
  <c r="B73" i="1"/>
  <c r="C73" i="1" s="1"/>
  <c r="I10" i="1" s="1"/>
  <c r="B72" i="1"/>
  <c r="C72" i="1" s="1"/>
  <c r="I9" i="1" s="1"/>
  <c r="B71" i="1"/>
  <c r="C71" i="1" s="1"/>
  <c r="I8" i="1" s="1"/>
  <c r="B70" i="1"/>
  <c r="H7" i="1" s="1"/>
  <c r="B69" i="1"/>
  <c r="C69" i="1" s="1"/>
  <c r="I6" i="1" s="1"/>
  <c r="B68" i="1"/>
  <c r="C68" i="1" s="1"/>
  <c r="I5" i="1" s="1"/>
  <c r="B67" i="1"/>
  <c r="C67" i="1" s="1"/>
  <c r="I4" i="1" s="1"/>
  <c r="B66" i="1"/>
  <c r="C66" i="1" s="1"/>
  <c r="I3" i="1" s="1"/>
  <c r="B65" i="1"/>
  <c r="C65" i="1" s="1"/>
  <c r="I2" i="1" s="1"/>
  <c r="B63" i="1"/>
  <c r="C63" i="1" s="1"/>
  <c r="G21" i="1" s="1"/>
  <c r="B62" i="1"/>
  <c r="C62" i="1" s="1"/>
  <c r="G20" i="1" s="1"/>
  <c r="B61" i="1"/>
  <c r="C61" i="1" s="1"/>
  <c r="G19" i="1" s="1"/>
  <c r="B60" i="1"/>
  <c r="C60" i="1" s="1"/>
  <c r="G18" i="1" s="1"/>
  <c r="B59" i="1"/>
  <c r="C59" i="1" s="1"/>
  <c r="G17" i="1" s="1"/>
  <c r="B58" i="1"/>
  <c r="C58" i="1" s="1"/>
  <c r="G16" i="1" s="1"/>
  <c r="B57" i="1"/>
  <c r="F15" i="1" s="1"/>
  <c r="B56" i="1"/>
  <c r="C56" i="1" s="1"/>
  <c r="G14" i="1" s="1"/>
  <c r="B55" i="1"/>
  <c r="C55" i="1" s="1"/>
  <c r="G13" i="1" s="1"/>
  <c r="B54" i="1"/>
  <c r="C54" i="1" s="1"/>
  <c r="G12" i="1" s="1"/>
  <c r="B53" i="1"/>
  <c r="C53" i="1" s="1"/>
  <c r="G11" i="1" s="1"/>
  <c r="B52" i="1"/>
  <c r="C52" i="1" s="1"/>
  <c r="G10" i="1" s="1"/>
  <c r="B51" i="1"/>
  <c r="C51" i="1" s="1"/>
  <c r="G9" i="1" s="1"/>
  <c r="B50" i="1"/>
  <c r="C50" i="1" s="1"/>
  <c r="G8" i="1" s="1"/>
  <c r="B49" i="1"/>
  <c r="C49" i="1" s="1"/>
  <c r="G7" i="1" s="1"/>
  <c r="B48" i="1"/>
  <c r="C48" i="1" s="1"/>
  <c r="G6" i="1" s="1"/>
  <c r="B47" i="1"/>
  <c r="C47" i="1" s="1"/>
  <c r="G5" i="1" s="1"/>
  <c r="B46" i="1"/>
  <c r="C46" i="1" s="1"/>
  <c r="G4" i="1" s="1"/>
  <c r="B45" i="1"/>
  <c r="C45" i="1" s="1"/>
  <c r="G3" i="1" s="1"/>
  <c r="B44" i="1"/>
  <c r="C44" i="1" s="1"/>
  <c r="G2" i="1" s="1"/>
  <c r="B42" i="1"/>
  <c r="C42" i="1" s="1"/>
  <c r="E21" i="1" s="1"/>
  <c r="B41" i="1"/>
  <c r="D20" i="1" s="1"/>
  <c r="B39" i="1"/>
  <c r="C39" i="1" s="1"/>
  <c r="E18" i="1" s="1"/>
  <c r="B38" i="1"/>
  <c r="C38" i="1" s="1"/>
  <c r="E17" i="1" s="1"/>
  <c r="B37" i="1"/>
  <c r="C37" i="1" s="1"/>
  <c r="E16" i="1" s="1"/>
  <c r="B36" i="1"/>
  <c r="D15" i="1" s="1"/>
  <c r="B34" i="1"/>
  <c r="C34" i="1" s="1"/>
  <c r="E13" i="1" s="1"/>
  <c r="B33" i="1"/>
  <c r="C33" i="1" s="1"/>
  <c r="E12" i="1" s="1"/>
  <c r="B31" i="1"/>
  <c r="C31" i="1" s="1"/>
  <c r="E10" i="1" s="1"/>
  <c r="B30" i="1"/>
  <c r="C30" i="1" s="1"/>
  <c r="E9" i="1" s="1"/>
  <c r="B29" i="1"/>
  <c r="C29" i="1" s="1"/>
  <c r="E8" i="1" s="1"/>
  <c r="B28" i="1"/>
  <c r="D7" i="1" s="1"/>
  <c r="B26" i="1"/>
  <c r="C26" i="1" s="1"/>
  <c r="E5" i="1" s="1"/>
  <c r="B25" i="1"/>
  <c r="C25" i="1" s="1"/>
  <c r="E4" i="1" s="1"/>
  <c r="B24" i="1"/>
  <c r="C24" i="1" s="1"/>
  <c r="E3" i="1" s="1"/>
  <c r="B23" i="1"/>
  <c r="C23" i="1" s="1"/>
  <c r="E2" i="1" s="1"/>
  <c r="C4" i="1"/>
  <c r="C5" i="1"/>
  <c r="C9" i="1"/>
  <c r="C16" i="1"/>
  <c r="C17" i="1"/>
  <c r="C20" i="1"/>
  <c r="C21" i="1"/>
  <c r="B2" i="1"/>
  <c r="C2" i="1" s="1"/>
  <c r="B103" i="1"/>
  <c r="C103" i="1" s="1"/>
  <c r="K19" i="1" s="1"/>
  <c r="B40" i="1"/>
  <c r="D19" i="1" s="1"/>
  <c r="D8" i="1" l="1"/>
  <c r="D12" i="1"/>
  <c r="J13" i="1"/>
  <c r="H12" i="1"/>
  <c r="J9" i="1"/>
  <c r="D4" i="1"/>
  <c r="J2" i="1"/>
  <c r="J21" i="1"/>
  <c r="J20" i="1"/>
  <c r="F18" i="1"/>
  <c r="F17" i="1"/>
  <c r="H5" i="1"/>
  <c r="J17" i="1"/>
  <c r="F10" i="1"/>
  <c r="F9" i="1"/>
  <c r="H16" i="1"/>
  <c r="F7" i="1"/>
  <c r="C57" i="1"/>
  <c r="G15" i="1" s="1"/>
  <c r="H17" i="1"/>
  <c r="J8" i="1"/>
  <c r="D13" i="1"/>
  <c r="D5" i="1"/>
  <c r="C41" i="1"/>
  <c r="E20" i="1" s="1"/>
  <c r="J4" i="1"/>
  <c r="H21" i="1"/>
  <c r="J12" i="1"/>
  <c r="H4" i="1"/>
  <c r="F16" i="1"/>
  <c r="F8" i="1"/>
  <c r="D16" i="1"/>
  <c r="D21" i="1"/>
  <c r="J16" i="1"/>
  <c r="H8" i="1"/>
  <c r="D17" i="1"/>
  <c r="H9" i="1"/>
  <c r="H20" i="1"/>
  <c r="H3" i="1"/>
  <c r="F14" i="1"/>
  <c r="F6" i="1"/>
  <c r="J15" i="1"/>
  <c r="J3" i="1"/>
  <c r="J19" i="1"/>
  <c r="F21" i="1"/>
  <c r="F13" i="1"/>
  <c r="F5" i="1"/>
  <c r="F2" i="1"/>
  <c r="H19" i="1"/>
  <c r="H6" i="1"/>
  <c r="F20" i="1"/>
  <c r="F12" i="1"/>
  <c r="F4" i="1"/>
  <c r="H10" i="1"/>
  <c r="H2" i="1"/>
  <c r="J5" i="1"/>
  <c r="F19" i="1"/>
  <c r="F11" i="1"/>
  <c r="F3" i="1"/>
  <c r="D3" i="1"/>
  <c r="B10" i="1"/>
  <c r="B6" i="1"/>
  <c r="B32" i="1"/>
  <c r="D11" i="1" s="1"/>
  <c r="D10" i="1"/>
  <c r="B35" i="1"/>
  <c r="D18" i="1"/>
  <c r="B27" i="1"/>
  <c r="D6" i="1" s="1"/>
  <c r="D2" i="1"/>
  <c r="B91" i="1"/>
  <c r="B95" i="1"/>
  <c r="B94" i="1"/>
  <c r="B90" i="1"/>
  <c r="C78" i="1"/>
  <c r="I15" i="1" s="1"/>
  <c r="C70" i="1"/>
  <c r="I7" i="1" s="1"/>
  <c r="C74" i="1"/>
  <c r="I11" i="1" s="1"/>
  <c r="C81" i="1"/>
  <c r="I18" i="1" s="1"/>
  <c r="C77" i="1"/>
  <c r="I14" i="1" s="1"/>
  <c r="C40" i="1"/>
  <c r="E19" i="1" s="1"/>
  <c r="C36" i="1"/>
  <c r="E15" i="1" s="1"/>
  <c r="C28" i="1"/>
  <c r="E7" i="1" s="1"/>
  <c r="C27" i="1" l="1"/>
  <c r="E6" i="1" s="1"/>
  <c r="C90" i="1"/>
  <c r="K6" i="1" s="1"/>
  <c r="J6" i="1"/>
  <c r="C95" i="1"/>
  <c r="K11" i="1" s="1"/>
  <c r="J11" i="1"/>
  <c r="C91" i="1"/>
  <c r="K7" i="1" s="1"/>
  <c r="J7" i="1"/>
  <c r="C94" i="1"/>
  <c r="K10" i="1" s="1"/>
  <c r="J10" i="1"/>
  <c r="B18" i="1"/>
  <c r="B14" i="1"/>
  <c r="C32" i="1"/>
  <c r="E11" i="1" s="1"/>
  <c r="C35" i="1"/>
  <c r="E14" i="1" s="1"/>
  <c r="D14" i="1"/>
  <c r="B102" i="1"/>
  <c r="B98" i="1"/>
  <c r="C102" i="1" l="1"/>
  <c r="K18" i="1" s="1"/>
  <c r="J18" i="1"/>
  <c r="C98" i="1"/>
  <c r="K14" i="1" s="1"/>
  <c r="J14" i="1"/>
  <c r="B126" i="1" l="1"/>
  <c r="C126" i="1" s="1"/>
  <c r="A126" i="1"/>
  <c r="B125" i="1"/>
  <c r="C125" i="1" s="1"/>
  <c r="A125" i="1"/>
  <c r="B124" i="1"/>
  <c r="C124" i="1" s="1"/>
  <c r="A124" i="1"/>
  <c r="B123" i="1"/>
  <c r="C123" i="1" s="1"/>
  <c r="A123" i="1"/>
  <c r="B122" i="1"/>
  <c r="C122" i="1" s="1"/>
  <c r="A122" i="1"/>
  <c r="B121" i="1"/>
  <c r="C121" i="1" s="1"/>
  <c r="A121" i="1"/>
  <c r="B120" i="1"/>
  <c r="C120" i="1" s="1"/>
  <c r="A120" i="1"/>
  <c r="B119" i="1"/>
  <c r="C119" i="1" s="1"/>
  <c r="A119" i="1"/>
  <c r="B118" i="1"/>
  <c r="C118" i="1" s="1"/>
  <c r="A118" i="1"/>
  <c r="B117" i="1"/>
  <c r="C117" i="1" s="1"/>
  <c r="A117" i="1"/>
  <c r="B116" i="1"/>
  <c r="C116" i="1" s="1"/>
  <c r="A116" i="1"/>
  <c r="B115" i="1"/>
  <c r="C115" i="1" s="1"/>
  <c r="A115" i="1"/>
  <c r="B114" i="1"/>
  <c r="C114" i="1" s="1"/>
  <c r="A114" i="1"/>
  <c r="B113" i="1"/>
  <c r="C113" i="1" s="1"/>
  <c r="A113" i="1"/>
  <c r="B112" i="1"/>
  <c r="C112" i="1" s="1"/>
  <c r="A112" i="1"/>
  <c r="B111" i="1"/>
  <c r="C111" i="1" s="1"/>
  <c r="A111" i="1"/>
  <c r="B110" i="1"/>
  <c r="C110" i="1" s="1"/>
  <c r="A110" i="1"/>
  <c r="B109" i="1"/>
  <c r="C109" i="1" s="1"/>
  <c r="A109" i="1"/>
  <c r="B108" i="1"/>
  <c r="C108" i="1" s="1"/>
  <c r="A108" i="1"/>
  <c r="B107" i="1"/>
  <c r="C107" i="1" s="1"/>
  <c r="A107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1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" i="1"/>
  <c r="B7" i="1" l="1"/>
  <c r="C7" i="1" s="1"/>
  <c r="C6" i="1"/>
  <c r="C10" i="1" l="1"/>
  <c r="B11" i="1"/>
  <c r="C11" i="1" s="1"/>
  <c r="C14" i="1"/>
  <c r="C18" i="1" l="1"/>
  <c r="B15" i="1"/>
  <c r="C15" i="1" s="1"/>
  <c r="B19" i="1" l="1"/>
  <c r="C19" i="1" s="1"/>
</calcChain>
</file>

<file path=xl/sharedStrings.xml><?xml version="1.0" encoding="utf-8"?>
<sst xmlns="http://schemas.openxmlformats.org/spreadsheetml/2006/main" count="2" uniqueCount="2">
  <si>
    <t>FinalDamage</t>
    <phoneticPr fontId="1" type="noConversion"/>
  </si>
  <si>
    <t>* CriticalDamage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</si>
</sst>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7"/>
      <name val="맑은 고딕"/>
      <family val="2"/>
      <charset val="129"/>
      <scheme val="minor"/>
    </font>
    <font>
      <sz val="11"/>
      <color rgb="FFFFFF00"/>
      <name val="맑은 고딕"/>
      <family val="2"/>
      <charset val="129"/>
      <scheme val="minor"/>
    </font>
    <font>
      <sz val="11"/>
      <color theme="8" tint="-0.249977111117893"/>
      <name val="맑은 고딕"/>
      <family val="2"/>
      <charset val="129"/>
      <scheme val="minor"/>
    </font>
    <font>
      <sz val="11"/>
      <color theme="6" tint="0.39997558519241921"/>
      <name val="맑은 고딕"/>
      <family val="2"/>
      <charset val="129"/>
      <scheme val="minor"/>
    </font>
    <font>
      <sz val="11"/>
      <color theme="9" tint="-0.249977111117893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2" borderId="0" xfId="0" applyFon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rojectileDataCSV.csv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TowerDataCSV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jectileDataCSV"/>
    </sheetNames>
    <sheetDataSet>
      <sheetData sheetId="0">
        <row r="2">
          <cell r="B2" t="str">
            <v>Sword(SP)</v>
          </cell>
          <cell r="D2">
            <v>2.8</v>
          </cell>
          <cell r="F2">
            <v>0.04</v>
          </cell>
          <cell r="G2">
            <v>7.0000000000000007E-2</v>
          </cell>
        </row>
        <row r="3">
          <cell r="B3" t="str">
            <v>Sword(T)</v>
          </cell>
          <cell r="D3">
            <v>1.8</v>
          </cell>
          <cell r="F3">
            <v>7.4999999999999997E-2</v>
          </cell>
          <cell r="G3">
            <v>8.5000000000000006E-2</v>
          </cell>
        </row>
        <row r="4">
          <cell r="B4" t="str">
            <v>Sword(TR)</v>
          </cell>
          <cell r="D4">
            <v>5</v>
          </cell>
          <cell r="F4">
            <v>0</v>
          </cell>
          <cell r="G4">
            <v>0</v>
          </cell>
        </row>
        <row r="5">
          <cell r="B5" t="str">
            <v>Sword(B)</v>
          </cell>
          <cell r="D5">
            <v>1.2</v>
          </cell>
          <cell r="F5">
            <v>0</v>
          </cell>
          <cell r="G5">
            <v>0</v>
          </cell>
        </row>
        <row r="6">
          <cell r="B6" t="str">
            <v>Sword(SP)</v>
          </cell>
          <cell r="D6">
            <v>5.04</v>
          </cell>
          <cell r="F6">
            <v>4.8000000000000001E-2</v>
          </cell>
          <cell r="G6">
            <v>0.08</v>
          </cell>
        </row>
        <row r="7">
          <cell r="B7" t="str">
            <v>Sword(T)</v>
          </cell>
          <cell r="D7">
            <v>3.06</v>
          </cell>
          <cell r="F7">
            <v>0.09</v>
          </cell>
          <cell r="G7">
            <v>0.1</v>
          </cell>
        </row>
        <row r="8">
          <cell r="B8" t="str">
            <v>Sword(TR)</v>
          </cell>
          <cell r="D8">
            <v>10</v>
          </cell>
          <cell r="F8">
            <v>0</v>
          </cell>
          <cell r="G8">
            <v>0</v>
          </cell>
        </row>
        <row r="9">
          <cell r="B9" t="str">
            <v>Sword(B)</v>
          </cell>
          <cell r="D9">
            <v>1.4</v>
          </cell>
          <cell r="F9">
            <v>0</v>
          </cell>
          <cell r="G9">
            <v>0</v>
          </cell>
        </row>
        <row r="10">
          <cell r="B10" t="str">
            <v>Sword(SP)</v>
          </cell>
          <cell r="D10">
            <v>11.34</v>
          </cell>
          <cell r="F10">
            <v>6.7199999999999996E-2</v>
          </cell>
          <cell r="G10">
            <v>0.12</v>
          </cell>
        </row>
        <row r="11">
          <cell r="B11" t="str">
            <v>Sword(T)</v>
          </cell>
          <cell r="D11">
            <v>6.12</v>
          </cell>
          <cell r="F11">
            <v>0.126</v>
          </cell>
          <cell r="G11">
            <v>0.15</v>
          </cell>
        </row>
        <row r="12">
          <cell r="B12" t="str">
            <v>Sword(TR)</v>
          </cell>
          <cell r="D12">
            <v>25</v>
          </cell>
          <cell r="F12">
            <v>0</v>
          </cell>
          <cell r="G12">
            <v>0</v>
          </cell>
        </row>
        <row r="13">
          <cell r="B13" t="str">
            <v>Sword(B)</v>
          </cell>
          <cell r="D13">
            <v>1.8</v>
          </cell>
          <cell r="F13">
            <v>0</v>
          </cell>
          <cell r="G13">
            <v>0</v>
          </cell>
        </row>
        <row r="14">
          <cell r="B14" t="str">
            <v>Sword(SP)</v>
          </cell>
          <cell r="D14">
            <v>34.020000000000003</v>
          </cell>
          <cell r="F14">
            <v>0.10752</v>
          </cell>
          <cell r="G14">
            <v>0.24</v>
          </cell>
        </row>
        <row r="15">
          <cell r="B15" t="str">
            <v>Sword(T)</v>
          </cell>
          <cell r="D15">
            <v>18.36</v>
          </cell>
          <cell r="F15">
            <v>0.2016</v>
          </cell>
          <cell r="G15">
            <v>0.3</v>
          </cell>
        </row>
        <row r="16">
          <cell r="B16" t="str">
            <v>Sword(TR)</v>
          </cell>
          <cell r="D16">
            <v>75</v>
          </cell>
          <cell r="F16">
            <v>0</v>
          </cell>
          <cell r="G16">
            <v>0</v>
          </cell>
        </row>
        <row r="17">
          <cell r="B17" t="str">
            <v>Sword(B)</v>
          </cell>
          <cell r="D17">
            <v>2.5</v>
          </cell>
          <cell r="F17">
            <v>0</v>
          </cell>
          <cell r="G17">
            <v>0</v>
          </cell>
        </row>
        <row r="18">
          <cell r="B18" t="str">
            <v>Sword(SP)</v>
          </cell>
          <cell r="D18">
            <v>142.88</v>
          </cell>
          <cell r="F18">
            <v>0.19353600000000001</v>
          </cell>
          <cell r="G18">
            <v>0.67</v>
          </cell>
        </row>
        <row r="19">
          <cell r="B19" t="str">
            <v>Sword(T)</v>
          </cell>
          <cell r="D19">
            <v>91.8</v>
          </cell>
          <cell r="F19">
            <v>0.36288000000000004</v>
          </cell>
          <cell r="G19">
            <v>0.84</v>
          </cell>
        </row>
        <row r="20">
          <cell r="B20" t="str">
            <v>Sword(TR)</v>
          </cell>
          <cell r="D20">
            <v>375</v>
          </cell>
          <cell r="F20">
            <v>0</v>
          </cell>
          <cell r="G20">
            <v>0</v>
          </cell>
        </row>
        <row r="21">
          <cell r="B21" t="str">
            <v>Sword(B)</v>
          </cell>
          <cell r="D21">
            <v>5</v>
          </cell>
          <cell r="F21">
            <v>0</v>
          </cell>
          <cell r="G21">
            <v>0</v>
          </cell>
        </row>
        <row r="23">
          <cell r="B23" t="str">
            <v>Bow(SP)</v>
          </cell>
          <cell r="D23">
            <v>1.85</v>
          </cell>
          <cell r="F23">
            <v>0.03</v>
          </cell>
          <cell r="G23">
            <v>0.04</v>
          </cell>
        </row>
        <row r="24">
          <cell r="B24" t="str">
            <v>Bow(T)</v>
          </cell>
          <cell r="D24">
            <v>1.25</v>
          </cell>
          <cell r="F24">
            <v>4.4999999999999998E-2</v>
          </cell>
          <cell r="G24">
            <v>0.06</v>
          </cell>
        </row>
        <row r="25">
          <cell r="B25" t="str">
            <v>Bow(TR)</v>
          </cell>
          <cell r="D25">
            <v>3</v>
          </cell>
          <cell r="F25">
            <v>0</v>
          </cell>
          <cell r="G25">
            <v>0</v>
          </cell>
        </row>
        <row r="26">
          <cell r="B26" t="str">
            <v>Bow(B)</v>
          </cell>
          <cell r="D26">
            <v>1.2</v>
          </cell>
          <cell r="F26">
            <v>0</v>
          </cell>
          <cell r="G26">
            <v>0</v>
          </cell>
        </row>
        <row r="27">
          <cell r="B27" t="str">
            <v>Bow(SP)</v>
          </cell>
          <cell r="D27">
            <v>3.7</v>
          </cell>
          <cell r="F27">
            <v>3.5999999999999997E-2</v>
          </cell>
          <cell r="G27">
            <v>0.05</v>
          </cell>
        </row>
        <row r="28">
          <cell r="B28" t="str">
            <v>Bow(T)</v>
          </cell>
          <cell r="D28">
            <v>2.5</v>
          </cell>
          <cell r="F28">
            <v>5.3999999999999999E-2</v>
          </cell>
          <cell r="G28">
            <v>7.0000000000000007E-2</v>
          </cell>
        </row>
        <row r="29">
          <cell r="B29" t="str">
            <v>Bow(TR)</v>
          </cell>
          <cell r="D29">
            <v>6</v>
          </cell>
          <cell r="F29">
            <v>0</v>
          </cell>
          <cell r="G29">
            <v>0</v>
          </cell>
        </row>
        <row r="30">
          <cell r="B30" t="str">
            <v>Bow(B)</v>
          </cell>
          <cell r="D30">
            <v>1.4</v>
          </cell>
          <cell r="F30">
            <v>0</v>
          </cell>
          <cell r="G30">
            <v>0</v>
          </cell>
        </row>
        <row r="31">
          <cell r="B31" t="str">
            <v>Bow(SP)</v>
          </cell>
          <cell r="D31">
            <v>9.25</v>
          </cell>
          <cell r="F31">
            <v>5.0399999999999993E-2</v>
          </cell>
          <cell r="G31">
            <v>0.08</v>
          </cell>
        </row>
        <row r="32">
          <cell r="B32" t="str">
            <v>Bow(T)</v>
          </cell>
          <cell r="D32">
            <v>6.25</v>
          </cell>
          <cell r="F32">
            <v>7.5600000000000001E-2</v>
          </cell>
          <cell r="G32">
            <v>0.11</v>
          </cell>
        </row>
        <row r="33">
          <cell r="B33" t="str">
            <v>Bow(TR)</v>
          </cell>
          <cell r="D33">
            <v>15</v>
          </cell>
          <cell r="F33">
            <v>0</v>
          </cell>
          <cell r="G33">
            <v>0</v>
          </cell>
        </row>
        <row r="34">
          <cell r="B34" t="str">
            <v>Bow(B)</v>
          </cell>
          <cell r="D34">
            <v>1.8</v>
          </cell>
          <cell r="F34">
            <v>0</v>
          </cell>
          <cell r="G34">
            <v>0</v>
          </cell>
        </row>
        <row r="35">
          <cell r="B35" t="str">
            <v>Bow(SP)</v>
          </cell>
          <cell r="D35">
            <v>27.75</v>
          </cell>
          <cell r="F35">
            <v>8.0639999999999989E-2</v>
          </cell>
          <cell r="G35">
            <v>0.16</v>
          </cell>
        </row>
        <row r="36">
          <cell r="B36" t="str">
            <v>Bow(T)</v>
          </cell>
          <cell r="D36">
            <v>18.75</v>
          </cell>
          <cell r="F36">
            <v>0.12096000000000001</v>
          </cell>
          <cell r="G36">
            <v>0.22</v>
          </cell>
        </row>
        <row r="37">
          <cell r="B37" t="str">
            <v>Bow(TR)</v>
          </cell>
          <cell r="D37">
            <v>45</v>
          </cell>
          <cell r="F37">
            <v>0</v>
          </cell>
          <cell r="G37">
            <v>0</v>
          </cell>
        </row>
        <row r="38">
          <cell r="B38" t="str">
            <v>Bow(B)</v>
          </cell>
          <cell r="D38">
            <v>2.5</v>
          </cell>
          <cell r="F38">
            <v>0</v>
          </cell>
          <cell r="G38">
            <v>0</v>
          </cell>
        </row>
        <row r="39">
          <cell r="B39" t="str">
            <v>Bow(SP)</v>
          </cell>
          <cell r="D39">
            <v>138.75</v>
          </cell>
          <cell r="F39">
            <v>0.14515199999999998</v>
          </cell>
          <cell r="G39">
            <v>0.45</v>
          </cell>
        </row>
        <row r="40">
          <cell r="B40" t="str">
            <v>Bow(T)</v>
          </cell>
          <cell r="D40">
            <v>93.75</v>
          </cell>
          <cell r="F40">
            <v>0.21772800000000003</v>
          </cell>
          <cell r="G40">
            <v>0.62</v>
          </cell>
        </row>
        <row r="41">
          <cell r="B41" t="str">
            <v>Bow(TR)</v>
          </cell>
          <cell r="D41">
            <v>225</v>
          </cell>
          <cell r="F41">
            <v>0</v>
          </cell>
          <cell r="G41">
            <v>0</v>
          </cell>
        </row>
        <row r="42">
          <cell r="B42" t="str">
            <v>Bow(B)</v>
          </cell>
          <cell r="D42">
            <v>5</v>
          </cell>
          <cell r="F42">
            <v>0</v>
          </cell>
          <cell r="G42">
            <v>0</v>
          </cell>
        </row>
        <row r="44">
          <cell r="B44" t="str">
            <v>Shield(SP)</v>
          </cell>
          <cell r="D44">
            <v>1.5</v>
          </cell>
          <cell r="F44">
            <v>1.4999999999999999E-2</v>
          </cell>
          <cell r="G44">
            <v>0.2</v>
          </cell>
        </row>
        <row r="45">
          <cell r="B45" t="str">
            <v>Shield(T)</v>
          </cell>
          <cell r="D45">
            <v>1.3</v>
          </cell>
          <cell r="F45">
            <v>0.03</v>
          </cell>
          <cell r="G45">
            <v>0.32</v>
          </cell>
        </row>
        <row r="46">
          <cell r="B46" t="str">
            <v>Shield(TR)</v>
          </cell>
          <cell r="D46">
            <v>3</v>
          </cell>
          <cell r="F46">
            <v>0</v>
          </cell>
          <cell r="G46">
            <v>0</v>
          </cell>
        </row>
        <row r="47">
          <cell r="B47" t="str">
            <v>Shield(B)</v>
          </cell>
          <cell r="D47">
            <v>1.2</v>
          </cell>
          <cell r="F47">
            <v>0</v>
          </cell>
          <cell r="G47">
            <v>0</v>
          </cell>
        </row>
        <row r="48">
          <cell r="B48" t="str">
            <v>Shield(SP)</v>
          </cell>
          <cell r="D48">
            <v>3</v>
          </cell>
          <cell r="F48">
            <v>1.7999999999999999E-2</v>
          </cell>
          <cell r="G48">
            <v>0.24</v>
          </cell>
        </row>
        <row r="49">
          <cell r="B49" t="str">
            <v>Shield(T)</v>
          </cell>
          <cell r="D49">
            <v>2.6</v>
          </cell>
          <cell r="F49">
            <v>3.5999999999999997E-2</v>
          </cell>
          <cell r="G49">
            <v>0.38</v>
          </cell>
        </row>
        <row r="50">
          <cell r="B50" t="str">
            <v>Shield(TR)</v>
          </cell>
          <cell r="D50">
            <v>6</v>
          </cell>
          <cell r="F50">
            <v>0</v>
          </cell>
          <cell r="G50">
            <v>0</v>
          </cell>
        </row>
        <row r="51">
          <cell r="B51" t="str">
            <v>Shield(B)</v>
          </cell>
          <cell r="D51">
            <v>1.4</v>
          </cell>
          <cell r="F51">
            <v>0</v>
          </cell>
          <cell r="G51">
            <v>0</v>
          </cell>
        </row>
        <row r="52">
          <cell r="B52" t="str">
            <v>Shield(SP)</v>
          </cell>
          <cell r="D52">
            <v>7.5</v>
          </cell>
          <cell r="F52">
            <v>2.5199999999999997E-2</v>
          </cell>
          <cell r="G52">
            <v>0.36</v>
          </cell>
        </row>
        <row r="53">
          <cell r="B53" t="str">
            <v>Shield(T)</v>
          </cell>
          <cell r="D53">
            <v>6.5</v>
          </cell>
          <cell r="F53">
            <v>5.0399999999999993E-2</v>
          </cell>
          <cell r="G53">
            <v>0.56999999999999995</v>
          </cell>
        </row>
        <row r="54">
          <cell r="B54" t="str">
            <v>Shield(TR)</v>
          </cell>
          <cell r="D54">
            <v>15</v>
          </cell>
          <cell r="F54">
            <v>0</v>
          </cell>
          <cell r="G54">
            <v>0</v>
          </cell>
        </row>
        <row r="55">
          <cell r="B55" t="str">
            <v>Shield(B)</v>
          </cell>
          <cell r="D55">
            <v>1.8</v>
          </cell>
          <cell r="F55">
            <v>0</v>
          </cell>
          <cell r="G55">
            <v>0</v>
          </cell>
        </row>
        <row r="56">
          <cell r="B56" t="str">
            <v>Shield(SP)</v>
          </cell>
          <cell r="D56">
            <v>22.5</v>
          </cell>
          <cell r="F56">
            <v>4.0319999999999995E-2</v>
          </cell>
          <cell r="G56">
            <v>0.72</v>
          </cell>
        </row>
        <row r="57">
          <cell r="B57" t="str">
            <v>Shield(T)</v>
          </cell>
          <cell r="D57">
            <v>19.5</v>
          </cell>
          <cell r="F57">
            <v>8.0639999999999989E-2</v>
          </cell>
          <cell r="G57">
            <v>1.1399999999999999</v>
          </cell>
        </row>
        <row r="58">
          <cell r="B58" t="str">
            <v>Shield(TR)</v>
          </cell>
          <cell r="D58">
            <v>45</v>
          </cell>
          <cell r="F58">
            <v>0</v>
          </cell>
          <cell r="G58">
            <v>0</v>
          </cell>
        </row>
        <row r="59">
          <cell r="B59" t="str">
            <v>Shield(B)</v>
          </cell>
          <cell r="D59">
            <v>2.5</v>
          </cell>
          <cell r="F59">
            <v>0</v>
          </cell>
          <cell r="G59">
            <v>0</v>
          </cell>
        </row>
        <row r="60">
          <cell r="B60" t="str">
            <v>Shield(SP)</v>
          </cell>
          <cell r="D60">
            <v>112.5</v>
          </cell>
          <cell r="F60">
            <v>7.2575999999999988E-2</v>
          </cell>
          <cell r="G60">
            <v>2.02</v>
          </cell>
        </row>
        <row r="61">
          <cell r="B61" t="str">
            <v>Shield(T)</v>
          </cell>
          <cell r="D61">
            <v>97.5</v>
          </cell>
          <cell r="F61">
            <v>0.14515199999999998</v>
          </cell>
          <cell r="G61">
            <v>3.19</v>
          </cell>
        </row>
        <row r="62">
          <cell r="B62" t="str">
            <v>Shield(TR)</v>
          </cell>
          <cell r="D62">
            <v>225</v>
          </cell>
          <cell r="F62">
            <v>0</v>
          </cell>
          <cell r="G62">
            <v>0</v>
          </cell>
        </row>
        <row r="63">
          <cell r="B63" t="str">
            <v>Shield(B)</v>
          </cell>
          <cell r="D63">
            <v>5</v>
          </cell>
          <cell r="F63">
            <v>0</v>
          </cell>
          <cell r="G63">
            <v>0</v>
          </cell>
        </row>
        <row r="65">
          <cell r="B65" t="str">
            <v>Spear(SP)</v>
          </cell>
          <cell r="D65">
            <v>2</v>
          </cell>
          <cell r="F65">
            <v>0.05</v>
          </cell>
          <cell r="G65">
            <v>5.0000000000000001E-3</v>
          </cell>
        </row>
        <row r="66">
          <cell r="B66" t="str">
            <v>Spear(T)</v>
          </cell>
          <cell r="D66">
            <v>1</v>
          </cell>
          <cell r="F66">
            <v>0.1</v>
          </cell>
          <cell r="G66">
            <v>7.4999999999999997E-3</v>
          </cell>
        </row>
        <row r="67">
          <cell r="B67" t="str">
            <v>Spear(TR)</v>
          </cell>
          <cell r="D67">
            <v>0</v>
          </cell>
          <cell r="F67">
            <v>0</v>
          </cell>
          <cell r="G67">
            <v>0</v>
          </cell>
        </row>
        <row r="68">
          <cell r="B68" t="str">
            <v>Spear(B)</v>
          </cell>
          <cell r="D68">
            <v>1.2</v>
          </cell>
          <cell r="F68">
            <v>0</v>
          </cell>
          <cell r="G68">
            <v>0</v>
          </cell>
        </row>
        <row r="69">
          <cell r="B69" t="str">
            <v>Spear(SP)</v>
          </cell>
          <cell r="D69">
            <v>4</v>
          </cell>
          <cell r="F69">
            <v>0.06</v>
          </cell>
          <cell r="G69">
            <v>0.01</v>
          </cell>
        </row>
        <row r="70">
          <cell r="B70" t="str">
            <v>Spear(T)</v>
          </cell>
          <cell r="D70">
            <v>2</v>
          </cell>
          <cell r="F70">
            <v>0.12</v>
          </cell>
          <cell r="G70">
            <v>0.01</v>
          </cell>
        </row>
        <row r="71">
          <cell r="B71" t="str">
            <v>Spear(TR)</v>
          </cell>
          <cell r="D71">
            <v>0</v>
          </cell>
          <cell r="F71">
            <v>0</v>
          </cell>
          <cell r="G71">
            <v>0</v>
          </cell>
        </row>
        <row r="72">
          <cell r="B72" t="str">
            <v>Spear(B)</v>
          </cell>
          <cell r="D72">
            <v>1.4</v>
          </cell>
          <cell r="F72">
            <v>0</v>
          </cell>
          <cell r="G72">
            <v>0</v>
          </cell>
        </row>
        <row r="73">
          <cell r="B73" t="str">
            <v>Spear(SP)</v>
          </cell>
          <cell r="D73">
            <v>10</v>
          </cell>
          <cell r="F73">
            <v>8.3999999999999991E-2</v>
          </cell>
          <cell r="G73">
            <v>0.02</v>
          </cell>
        </row>
        <row r="74">
          <cell r="B74" t="str">
            <v>Spear(T)</v>
          </cell>
          <cell r="D74">
            <v>5</v>
          </cell>
          <cell r="F74">
            <v>0.16799999999999998</v>
          </cell>
          <cell r="G74">
            <v>0.02</v>
          </cell>
        </row>
        <row r="75">
          <cell r="B75" t="str">
            <v>Spear(TR)</v>
          </cell>
          <cell r="D75">
            <v>0</v>
          </cell>
          <cell r="F75">
            <v>0</v>
          </cell>
          <cell r="G75">
            <v>0</v>
          </cell>
        </row>
        <row r="76">
          <cell r="B76" t="str">
            <v>Spear(B)</v>
          </cell>
          <cell r="D76">
            <v>1.8</v>
          </cell>
          <cell r="F76">
            <v>0</v>
          </cell>
          <cell r="G76">
            <v>0</v>
          </cell>
        </row>
        <row r="77">
          <cell r="B77" t="str">
            <v>Spear(SP)</v>
          </cell>
          <cell r="D77">
            <v>30</v>
          </cell>
          <cell r="F77">
            <v>0.13439999999999999</v>
          </cell>
          <cell r="G77">
            <v>0.04</v>
          </cell>
        </row>
        <row r="78">
          <cell r="B78" t="str">
            <v>Spear(T)</v>
          </cell>
          <cell r="D78">
            <v>15</v>
          </cell>
          <cell r="F78">
            <v>0.26879999999999998</v>
          </cell>
          <cell r="G78">
            <v>0.04</v>
          </cell>
        </row>
        <row r="79">
          <cell r="B79" t="str">
            <v>Spear(TR)</v>
          </cell>
          <cell r="D79">
            <v>0</v>
          </cell>
          <cell r="F79">
            <v>0</v>
          </cell>
          <cell r="G79">
            <v>0</v>
          </cell>
        </row>
        <row r="80">
          <cell r="B80" t="str">
            <v>Spear(B)</v>
          </cell>
          <cell r="D80">
            <v>2.5</v>
          </cell>
          <cell r="F80">
            <v>0</v>
          </cell>
          <cell r="G80">
            <v>0</v>
          </cell>
        </row>
        <row r="81">
          <cell r="B81" t="str">
            <v>Spear(SP)</v>
          </cell>
          <cell r="D81">
            <v>150</v>
          </cell>
          <cell r="F81">
            <v>0.24192</v>
          </cell>
          <cell r="G81">
            <v>0.11</v>
          </cell>
        </row>
        <row r="82">
          <cell r="B82" t="str">
            <v>Spear(T)</v>
          </cell>
          <cell r="D82">
            <v>75</v>
          </cell>
          <cell r="F82">
            <v>0.48383999999999999</v>
          </cell>
          <cell r="G82">
            <v>0.11</v>
          </cell>
        </row>
        <row r="83">
          <cell r="B83" t="str">
            <v>Spear(TR)</v>
          </cell>
          <cell r="D83">
            <v>0</v>
          </cell>
          <cell r="F83">
            <v>0</v>
          </cell>
          <cell r="G83">
            <v>0</v>
          </cell>
        </row>
        <row r="84">
          <cell r="B84" t="str">
            <v>Spear(B)</v>
          </cell>
          <cell r="D84">
            <v>5</v>
          </cell>
          <cell r="F84">
            <v>0</v>
          </cell>
          <cell r="G84">
            <v>0</v>
          </cell>
        </row>
        <row r="86">
          <cell r="B86" t="str">
            <v>Axe(SP)</v>
          </cell>
          <cell r="D86">
            <v>2.15</v>
          </cell>
          <cell r="F86">
            <v>6.4999999999999997E-3</v>
          </cell>
          <cell r="G86">
            <v>0.95</v>
          </cell>
        </row>
        <row r="87">
          <cell r="B87" t="str">
            <v>Axe(T)</v>
          </cell>
          <cell r="D87">
            <v>2.5</v>
          </cell>
          <cell r="F87">
            <v>7.4999999999999997E-3</v>
          </cell>
          <cell r="G87">
            <v>1</v>
          </cell>
        </row>
        <row r="88">
          <cell r="B88" t="str">
            <v>Axe(TR)</v>
          </cell>
          <cell r="D88">
            <v>3</v>
          </cell>
          <cell r="F88">
            <v>0</v>
          </cell>
          <cell r="G88">
            <v>0</v>
          </cell>
        </row>
        <row r="89">
          <cell r="B89" t="str">
            <v>Axe(B)</v>
          </cell>
          <cell r="D89">
            <v>1.2</v>
          </cell>
          <cell r="F89">
            <v>0</v>
          </cell>
          <cell r="G89">
            <v>0</v>
          </cell>
        </row>
        <row r="90">
          <cell r="B90" t="str">
            <v>Axe(SP)</v>
          </cell>
          <cell r="D90">
            <v>4.3</v>
          </cell>
          <cell r="F90">
            <v>7.7999999999999996E-3</v>
          </cell>
          <cell r="G90">
            <v>1.1399999999999999</v>
          </cell>
        </row>
        <row r="91">
          <cell r="B91" t="str">
            <v>Axe(T)</v>
          </cell>
          <cell r="D91">
            <v>5</v>
          </cell>
          <cell r="F91">
            <v>8.9999999999999993E-3</v>
          </cell>
          <cell r="G91">
            <v>1.2</v>
          </cell>
        </row>
        <row r="92">
          <cell r="B92" t="str">
            <v>Axe(TR)</v>
          </cell>
          <cell r="D92">
            <v>6</v>
          </cell>
          <cell r="F92">
            <v>0</v>
          </cell>
          <cell r="G92">
            <v>0</v>
          </cell>
        </row>
        <row r="93">
          <cell r="B93" t="str">
            <v>Axe(B)</v>
          </cell>
          <cell r="D93">
            <v>1.4</v>
          </cell>
          <cell r="F93">
            <v>0</v>
          </cell>
          <cell r="G93">
            <v>0</v>
          </cell>
        </row>
        <row r="94">
          <cell r="B94" t="str">
            <v>Axe(SP)</v>
          </cell>
          <cell r="D94">
            <v>10.75</v>
          </cell>
          <cell r="F94">
            <v>1.0919999999999999E-2</v>
          </cell>
          <cell r="G94">
            <v>1.71</v>
          </cell>
        </row>
        <row r="95">
          <cell r="B95" t="str">
            <v>Axe(T)</v>
          </cell>
          <cell r="D95">
            <v>12.5</v>
          </cell>
          <cell r="F95">
            <v>1.2599999999999998E-2</v>
          </cell>
          <cell r="G95">
            <v>1.8</v>
          </cell>
        </row>
        <row r="96">
          <cell r="B96" t="str">
            <v>Axe(TR)</v>
          </cell>
          <cell r="D96">
            <v>15</v>
          </cell>
          <cell r="F96">
            <v>0</v>
          </cell>
          <cell r="G96">
            <v>0</v>
          </cell>
        </row>
        <row r="97">
          <cell r="B97" t="str">
            <v>Axe(B)</v>
          </cell>
          <cell r="D97">
            <v>1.8</v>
          </cell>
          <cell r="F97">
            <v>0</v>
          </cell>
          <cell r="G97">
            <v>0</v>
          </cell>
        </row>
        <row r="98">
          <cell r="B98" t="str">
            <v>Axe(SP)</v>
          </cell>
          <cell r="D98">
            <v>32.25</v>
          </cell>
          <cell r="F98">
            <v>1.7471999999999998E-2</v>
          </cell>
          <cell r="G98">
            <v>3.42</v>
          </cell>
        </row>
        <row r="99">
          <cell r="B99" t="str">
            <v>Axe(T)</v>
          </cell>
          <cell r="D99">
            <v>37.5</v>
          </cell>
          <cell r="F99">
            <v>2.0159999999999997E-2</v>
          </cell>
          <cell r="G99">
            <v>3.6</v>
          </cell>
        </row>
        <row r="100">
          <cell r="B100" t="str">
            <v>Axe(TR)</v>
          </cell>
          <cell r="D100">
            <v>45</v>
          </cell>
          <cell r="F100">
            <v>0</v>
          </cell>
          <cell r="G100">
            <v>0</v>
          </cell>
        </row>
        <row r="101">
          <cell r="B101" t="str">
            <v>Axe(B)</v>
          </cell>
          <cell r="D101">
            <v>2.5</v>
          </cell>
          <cell r="F101">
            <v>0</v>
          </cell>
          <cell r="G101">
            <v>0</v>
          </cell>
        </row>
        <row r="102">
          <cell r="B102" t="str">
            <v>Axe(SP)</v>
          </cell>
          <cell r="D102">
            <v>161.25</v>
          </cell>
          <cell r="F102">
            <v>3.1449599999999994E-2</v>
          </cell>
          <cell r="G102">
            <v>9.58</v>
          </cell>
        </row>
        <row r="103">
          <cell r="B103" t="str">
            <v>Axe(T)</v>
          </cell>
          <cell r="D103">
            <v>187.5</v>
          </cell>
          <cell r="F103">
            <v>3.6287999999999994E-2</v>
          </cell>
          <cell r="G103">
            <v>10.08</v>
          </cell>
        </row>
        <row r="104">
          <cell r="B104" t="str">
            <v>Axe(TR)</v>
          </cell>
          <cell r="D104">
            <v>225</v>
          </cell>
          <cell r="F104">
            <v>0</v>
          </cell>
          <cell r="G104">
            <v>0</v>
          </cell>
        </row>
        <row r="105">
          <cell r="B105" t="str">
            <v>Axe(B)</v>
          </cell>
          <cell r="D105">
            <v>5</v>
          </cell>
          <cell r="F105">
            <v>0</v>
          </cell>
          <cell r="G105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werDataCSV"/>
    </sheetNames>
    <sheetDataSet>
      <sheetData sheetId="0">
        <row r="2">
          <cell r="E2">
            <v>0.22</v>
          </cell>
        </row>
        <row r="3">
          <cell r="E3">
            <v>0.37</v>
          </cell>
        </row>
        <row r="4">
          <cell r="E4">
            <v>0.05</v>
          </cell>
        </row>
        <row r="5">
          <cell r="E5">
            <v>1</v>
          </cell>
        </row>
        <row r="6">
          <cell r="E6">
            <v>0.46</v>
          </cell>
        </row>
        <row r="7">
          <cell r="E7">
            <v>0.81</v>
          </cell>
        </row>
        <row r="8">
          <cell r="E8">
            <v>0.11</v>
          </cell>
        </row>
        <row r="9">
          <cell r="E9">
            <v>1</v>
          </cell>
        </row>
        <row r="10">
          <cell r="E10">
            <v>1.01</v>
          </cell>
        </row>
        <row r="11">
          <cell r="E11">
            <v>1.94</v>
          </cell>
        </row>
        <row r="12">
          <cell r="E12">
            <v>0.24</v>
          </cell>
        </row>
        <row r="13">
          <cell r="E13">
            <v>1</v>
          </cell>
        </row>
        <row r="14">
          <cell r="E14">
            <v>2.5299999999999998</v>
          </cell>
        </row>
        <row r="15">
          <cell r="E15">
            <v>5.34</v>
          </cell>
        </row>
        <row r="16">
          <cell r="E16">
            <v>0.6</v>
          </cell>
        </row>
        <row r="17">
          <cell r="E17">
            <v>1</v>
          </cell>
        </row>
        <row r="18">
          <cell r="E18">
            <v>7.59</v>
          </cell>
        </row>
        <row r="19">
          <cell r="E19">
            <v>21.36</v>
          </cell>
        </row>
        <row r="20">
          <cell r="E20">
            <v>1.8</v>
          </cell>
        </row>
        <row r="21">
          <cell r="E21">
            <v>1</v>
          </cell>
        </row>
        <row r="23">
          <cell r="E23">
            <v>0.25</v>
          </cell>
        </row>
        <row r="24">
          <cell r="E24">
            <v>0.43</v>
          </cell>
        </row>
        <row r="25">
          <cell r="E25">
            <v>0.05</v>
          </cell>
        </row>
        <row r="26">
          <cell r="E26">
            <v>1</v>
          </cell>
        </row>
        <row r="27">
          <cell r="E27">
            <v>0.53</v>
          </cell>
        </row>
        <row r="28">
          <cell r="E28">
            <v>0.95</v>
          </cell>
        </row>
        <row r="29">
          <cell r="E29">
            <v>0.11</v>
          </cell>
        </row>
        <row r="30">
          <cell r="E30">
            <v>1</v>
          </cell>
        </row>
        <row r="31">
          <cell r="E31">
            <v>1.17</v>
          </cell>
        </row>
        <row r="32">
          <cell r="E32">
            <v>2.2799999999999998</v>
          </cell>
        </row>
        <row r="33">
          <cell r="E33">
            <v>0.24</v>
          </cell>
        </row>
        <row r="34">
          <cell r="E34">
            <v>1</v>
          </cell>
        </row>
        <row r="35">
          <cell r="E35">
            <v>2.93</v>
          </cell>
        </row>
        <row r="36">
          <cell r="E36">
            <v>6.27</v>
          </cell>
        </row>
        <row r="37">
          <cell r="E37">
            <v>0.6</v>
          </cell>
        </row>
        <row r="38">
          <cell r="E38">
            <v>1</v>
          </cell>
        </row>
        <row r="39">
          <cell r="E39">
            <v>8.7899999999999991</v>
          </cell>
        </row>
        <row r="40">
          <cell r="E40">
            <v>25.08</v>
          </cell>
        </row>
        <row r="41">
          <cell r="E41">
            <v>1.8</v>
          </cell>
        </row>
        <row r="42">
          <cell r="E42">
            <v>1</v>
          </cell>
        </row>
        <row r="44">
          <cell r="E44">
            <v>0.1</v>
          </cell>
        </row>
        <row r="45">
          <cell r="E45">
            <v>0.22</v>
          </cell>
        </row>
        <row r="46">
          <cell r="E46">
            <v>0.05</v>
          </cell>
        </row>
        <row r="47">
          <cell r="E47">
            <v>1</v>
          </cell>
        </row>
        <row r="48">
          <cell r="E48">
            <v>0.21</v>
          </cell>
        </row>
        <row r="49">
          <cell r="E49">
            <v>0.48</v>
          </cell>
        </row>
        <row r="50">
          <cell r="E50">
            <v>0.11</v>
          </cell>
        </row>
        <row r="51">
          <cell r="E51">
            <v>1</v>
          </cell>
        </row>
        <row r="52">
          <cell r="E52">
            <v>0.46</v>
          </cell>
        </row>
        <row r="53">
          <cell r="E53">
            <v>1.1499999999999999</v>
          </cell>
        </row>
        <row r="54">
          <cell r="E54">
            <v>0.24</v>
          </cell>
        </row>
        <row r="55">
          <cell r="E55">
            <v>1</v>
          </cell>
        </row>
        <row r="56">
          <cell r="E56">
            <v>1.1499999999999999</v>
          </cell>
        </row>
        <row r="57">
          <cell r="E57">
            <v>3.16</v>
          </cell>
        </row>
        <row r="58">
          <cell r="E58">
            <v>0.6</v>
          </cell>
        </row>
        <row r="59">
          <cell r="E59">
            <v>1</v>
          </cell>
        </row>
        <row r="60">
          <cell r="E60">
            <v>3.45</v>
          </cell>
        </row>
        <row r="61">
          <cell r="E61">
            <v>12.64</v>
          </cell>
        </row>
        <row r="62">
          <cell r="E62">
            <v>1.8</v>
          </cell>
        </row>
        <row r="63">
          <cell r="E63">
            <v>1</v>
          </cell>
        </row>
        <row r="65">
          <cell r="E65">
            <v>0.25</v>
          </cell>
        </row>
        <row r="66">
          <cell r="E66">
            <v>0.47</v>
          </cell>
        </row>
        <row r="67">
          <cell r="E67">
            <v>0.05</v>
          </cell>
        </row>
        <row r="68">
          <cell r="E68">
            <v>1</v>
          </cell>
        </row>
        <row r="69">
          <cell r="E69">
            <v>0.53</v>
          </cell>
        </row>
        <row r="70">
          <cell r="E70">
            <v>1.03</v>
          </cell>
        </row>
        <row r="71">
          <cell r="E71">
            <v>0.11</v>
          </cell>
        </row>
        <row r="72">
          <cell r="E72">
            <v>1</v>
          </cell>
        </row>
        <row r="73">
          <cell r="E73">
            <v>1.17</v>
          </cell>
        </row>
        <row r="74">
          <cell r="E74">
            <v>2.4700000000000002</v>
          </cell>
        </row>
        <row r="75">
          <cell r="E75">
            <v>0.24</v>
          </cell>
        </row>
        <row r="76">
          <cell r="E76">
            <v>1</v>
          </cell>
        </row>
        <row r="77">
          <cell r="E77">
            <v>2.93</v>
          </cell>
        </row>
        <row r="78">
          <cell r="E78">
            <v>6.79</v>
          </cell>
        </row>
        <row r="79">
          <cell r="E79">
            <v>0.6</v>
          </cell>
        </row>
        <row r="80">
          <cell r="E80">
            <v>1</v>
          </cell>
        </row>
        <row r="81">
          <cell r="E81">
            <v>8.7899999999999991</v>
          </cell>
        </row>
        <row r="82">
          <cell r="E82">
            <v>27.16</v>
          </cell>
        </row>
        <row r="83">
          <cell r="E83">
            <v>1.8</v>
          </cell>
        </row>
        <row r="84">
          <cell r="E84">
            <v>1</v>
          </cell>
        </row>
        <row r="86">
          <cell r="E86">
            <v>0.15</v>
          </cell>
        </row>
        <row r="87">
          <cell r="E87">
            <v>0.22</v>
          </cell>
        </row>
        <row r="88">
          <cell r="E88">
            <v>0.05</v>
          </cell>
        </row>
        <row r="89">
          <cell r="E89">
            <v>1</v>
          </cell>
        </row>
        <row r="90">
          <cell r="E90">
            <v>0.32</v>
          </cell>
        </row>
        <row r="91">
          <cell r="E91">
            <v>0.48</v>
          </cell>
        </row>
        <row r="92">
          <cell r="E92">
            <v>0.11</v>
          </cell>
        </row>
        <row r="93">
          <cell r="E93">
            <v>1</v>
          </cell>
        </row>
        <row r="94">
          <cell r="E94">
            <v>0.7</v>
          </cell>
        </row>
        <row r="95">
          <cell r="E95">
            <v>1.1499999999999999</v>
          </cell>
        </row>
        <row r="96">
          <cell r="E96">
            <v>0.24</v>
          </cell>
        </row>
        <row r="97">
          <cell r="E97">
            <v>1</v>
          </cell>
        </row>
        <row r="98">
          <cell r="E98">
            <v>1.75</v>
          </cell>
        </row>
        <row r="99">
          <cell r="E99">
            <v>3.16</v>
          </cell>
        </row>
        <row r="100">
          <cell r="E100">
            <v>0.6</v>
          </cell>
        </row>
        <row r="101">
          <cell r="E101">
            <v>1</v>
          </cell>
        </row>
        <row r="102">
          <cell r="E102">
            <v>5.25</v>
          </cell>
        </row>
        <row r="103">
          <cell r="E103">
            <v>12.64</v>
          </cell>
        </row>
        <row r="104">
          <cell r="E104">
            <v>1.8</v>
          </cell>
        </row>
        <row r="105">
          <cell r="E105">
            <v>1</v>
          </cell>
        </row>
      </sheetData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378BD-D79C-4FFA-B425-19F2814A251F}">
  <dimension ref="A1:K126"/>
  <sheetViews>
    <sheetView tabSelected="1" workbookViewId="0">
      <selection activeCell="B19" sqref="B19"/>
    </sheetView>
  </sheetViews>
  <sheetFormatPr defaultRowHeight="16.5" x14ac:dyDescent="0.3"/>
  <cols>
    <col min="2" max="2" width="12.25" style="6" customWidth="1"/>
    <col min="3" max="3" width="16" style="6" customWidth="1"/>
  </cols>
  <sheetData>
    <row r="1" spans="1:11" x14ac:dyDescent="0.3">
      <c r="B1" s="6" t="s">
        <v>0</v>
      </c>
      <c r="C1" s="6" t="s">
        <v>1</v>
      </c>
      <c r="D1" s="7"/>
      <c r="E1" s="7"/>
      <c r="F1" s="7"/>
      <c r="G1" s="7"/>
      <c r="H1" s="7"/>
      <c r="I1" s="7"/>
      <c r="J1" s="7"/>
      <c r="K1" s="7"/>
    </row>
    <row r="2" spans="1:11" x14ac:dyDescent="0.3">
      <c r="A2" s="1" t="str">
        <f>[1]ProjectileDataCSV!$B2</f>
        <v>Sword(SP)</v>
      </c>
      <c r="B2" s="6">
        <f>ROUND([2]TowerDataCSV!$E2*[1]ProjectileDataCSV!$D2,2)</f>
        <v>0.62</v>
      </c>
      <c r="C2" s="6">
        <f>ROUND((B2*[1]ProjectileDataCSV!$F2*(2+[1]ProjectileDataCSV!$G2))+B2*(1-[1]ProjectileDataCSV!$F2),2)</f>
        <v>0.65</v>
      </c>
      <c r="D2" s="6">
        <f>$B$23</f>
        <v>0.46</v>
      </c>
      <c r="E2" s="6">
        <f>$C$23</f>
        <v>0.47</v>
      </c>
      <c r="F2" s="6">
        <f>B44</f>
        <v>0.15</v>
      </c>
      <c r="G2" s="6">
        <f>C44</f>
        <v>0.15</v>
      </c>
      <c r="H2" s="6">
        <f>B65</f>
        <v>0.5</v>
      </c>
      <c r="I2" s="6">
        <f>C65</f>
        <v>0.53</v>
      </c>
      <c r="J2" s="6">
        <f>B86</f>
        <v>0.32</v>
      </c>
      <c r="K2" s="6">
        <f>C86</f>
        <v>0.32</v>
      </c>
    </row>
    <row r="3" spans="1:11" x14ac:dyDescent="0.3">
      <c r="A3" s="1" t="str">
        <f>[1]ProjectileDataCSV!$B3</f>
        <v>Sword(T)</v>
      </c>
      <c r="B3" s="6">
        <f>ROUND([2]TowerDataCSV!$E3*[1]ProjectileDataCSV!$D3,2)</f>
        <v>0.67</v>
      </c>
      <c r="C3" s="6">
        <f>ROUND((B3*[1]ProjectileDataCSV!$F3*(2+[1]ProjectileDataCSV!$G3))+B3*(1-[1]ProjectileDataCSV!$F3),2)</f>
        <v>0.72</v>
      </c>
      <c r="D3" s="6">
        <f>$B$24</f>
        <v>0.54</v>
      </c>
      <c r="E3" s="6">
        <f>$C$24</f>
        <v>0.56999999999999995</v>
      </c>
      <c r="F3" s="6">
        <f t="shared" ref="F3:G3" si="0">B45</f>
        <v>0.28999999999999998</v>
      </c>
      <c r="G3" s="6">
        <f t="shared" si="0"/>
        <v>0.3</v>
      </c>
      <c r="H3" s="6">
        <f t="shared" ref="H3:I3" si="1">B66</f>
        <v>0.47</v>
      </c>
      <c r="I3" s="6">
        <f t="shared" si="1"/>
        <v>0.52</v>
      </c>
      <c r="J3" s="6">
        <f t="shared" ref="J3:K3" si="2">B87</f>
        <v>0.55000000000000004</v>
      </c>
      <c r="K3" s="6">
        <f t="shared" si="2"/>
        <v>0.56000000000000005</v>
      </c>
    </row>
    <row r="4" spans="1:11" x14ac:dyDescent="0.3">
      <c r="A4" s="1" t="str">
        <f>[1]ProjectileDataCSV!$B4</f>
        <v>Sword(TR)</v>
      </c>
      <c r="B4" s="6">
        <f>ROUND([2]TowerDataCSV!$E4*[1]ProjectileDataCSV!$D4,2)</f>
        <v>0.25</v>
      </c>
      <c r="C4" s="6">
        <f>ROUND((B4*[1]ProjectileDataCSV!$F4*(2+[1]ProjectileDataCSV!$G4))+B4*(1-[1]ProjectileDataCSV!$F4),2)</f>
        <v>0.25</v>
      </c>
      <c r="D4" s="6">
        <f>$B$25</f>
        <v>0.15</v>
      </c>
      <c r="E4" s="6">
        <f>$C$25</f>
        <v>0.15</v>
      </c>
      <c r="F4" s="6">
        <f t="shared" ref="F4:G4" si="3">B46</f>
        <v>0.15</v>
      </c>
      <c r="G4" s="6">
        <f t="shared" si="3"/>
        <v>0.15</v>
      </c>
      <c r="H4" s="6">
        <f t="shared" ref="H4:I4" si="4">B67</f>
        <v>0</v>
      </c>
      <c r="I4" s="6">
        <f t="shared" si="4"/>
        <v>0</v>
      </c>
      <c r="J4" s="6">
        <f t="shared" ref="J4:K4" si="5">B88</f>
        <v>0.15</v>
      </c>
      <c r="K4" s="6">
        <f t="shared" si="5"/>
        <v>0.15</v>
      </c>
    </row>
    <row r="5" spans="1:11" x14ac:dyDescent="0.3">
      <c r="A5" s="1" t="str">
        <f>[1]ProjectileDataCSV!$B5</f>
        <v>Sword(B)</v>
      </c>
      <c r="B5" s="6">
        <f>ROUND([2]TowerDataCSV!$E5*[1]ProjectileDataCSV!$D5,2)</f>
        <v>1.2</v>
      </c>
      <c r="C5" s="6">
        <f>ROUND((B5*[1]ProjectileDataCSV!$F5*(2+[1]ProjectileDataCSV!$G5))+B5*(1-[1]ProjectileDataCSV!$F5),2)</f>
        <v>1.2</v>
      </c>
      <c r="D5" s="6">
        <f>$B$26</f>
        <v>1.2</v>
      </c>
      <c r="E5" s="6">
        <f>$C$26</f>
        <v>1.2</v>
      </c>
      <c r="F5" s="6">
        <f t="shared" ref="F5:G5" si="6">B47</f>
        <v>1.2</v>
      </c>
      <c r="G5" s="6">
        <f t="shared" si="6"/>
        <v>1.2</v>
      </c>
      <c r="H5" s="6">
        <f t="shared" ref="H5:I5" si="7">B68</f>
        <v>1.2</v>
      </c>
      <c r="I5" s="6">
        <f t="shared" si="7"/>
        <v>1.2</v>
      </c>
      <c r="J5" s="6">
        <f t="shared" ref="J5:K5" si="8">B89</f>
        <v>1.2</v>
      </c>
      <c r="K5" s="6">
        <f t="shared" si="8"/>
        <v>1.2</v>
      </c>
    </row>
    <row r="6" spans="1:11" x14ac:dyDescent="0.3">
      <c r="A6" s="4" t="str">
        <f>[1]ProjectileDataCSV!$B6</f>
        <v>Sword(SP)</v>
      </c>
      <c r="B6" s="6">
        <f>ROUND([2]TowerDataCSV!$E6*[1]ProjectileDataCSV!$D6,2)</f>
        <v>2.3199999999999998</v>
      </c>
      <c r="C6" s="6">
        <f>ROUND((B6*[1]ProjectileDataCSV!$F6*(2+[1]ProjectileDataCSV!$G6))+B6*(1-[1]ProjectileDataCSV!$F6),2)</f>
        <v>2.44</v>
      </c>
      <c r="D6" s="6">
        <f>$B$27</f>
        <v>1.96</v>
      </c>
      <c r="E6" s="6">
        <f>$C$27</f>
        <v>2.0299999999999998</v>
      </c>
      <c r="F6" s="6">
        <f t="shared" ref="F6:G6" si="9">B48</f>
        <v>0.63</v>
      </c>
      <c r="G6" s="6">
        <f t="shared" si="9"/>
        <v>0.64</v>
      </c>
      <c r="H6" s="6">
        <f t="shared" ref="H6:I6" si="10">B69</f>
        <v>2.12</v>
      </c>
      <c r="I6" s="6">
        <f t="shared" si="10"/>
        <v>2.25</v>
      </c>
      <c r="J6" s="6">
        <f t="shared" ref="J6:K6" si="11">B90</f>
        <v>1.38</v>
      </c>
      <c r="K6" s="6">
        <f t="shared" si="11"/>
        <v>1.4</v>
      </c>
    </row>
    <row r="7" spans="1:11" x14ac:dyDescent="0.3">
      <c r="A7" s="4" t="str">
        <f>[1]ProjectileDataCSV!$B7</f>
        <v>Sword(T)</v>
      </c>
      <c r="B7" s="6">
        <f>ROUND([2]TowerDataCSV!$E7*[1]ProjectileDataCSV!$D7,2)</f>
        <v>2.48</v>
      </c>
      <c r="C7" s="6">
        <f>ROUND((B7*[1]ProjectileDataCSV!$F7*(2+[1]ProjectileDataCSV!$G7))+B7*(1-[1]ProjectileDataCSV!$F7),2)</f>
        <v>2.73</v>
      </c>
      <c r="D7" s="6">
        <f>$B$28</f>
        <v>2.38</v>
      </c>
      <c r="E7" s="6">
        <f>C$28</f>
        <v>2.52</v>
      </c>
      <c r="F7" s="6">
        <f t="shared" ref="F7:G7" si="12">B49</f>
        <v>1.25</v>
      </c>
      <c r="G7" s="6">
        <f t="shared" si="12"/>
        <v>1.31</v>
      </c>
      <c r="H7" s="6">
        <f t="shared" ref="H7:I7" si="13">B70</f>
        <v>2.06</v>
      </c>
      <c r="I7" s="6">
        <f t="shared" si="13"/>
        <v>2.31</v>
      </c>
      <c r="J7" s="6">
        <f t="shared" ref="J7:K7" si="14">B91</f>
        <v>2.4</v>
      </c>
      <c r="K7" s="6">
        <f t="shared" si="14"/>
        <v>2.4500000000000002</v>
      </c>
    </row>
    <row r="8" spans="1:11" x14ac:dyDescent="0.3">
      <c r="A8" s="4" t="str">
        <f>[1]ProjectileDataCSV!$B8</f>
        <v>Sword(TR)</v>
      </c>
      <c r="B8" s="6">
        <f>ROUND([2]TowerDataCSV!$E8*[1]ProjectileDataCSV!$D8,2)</f>
        <v>1.1000000000000001</v>
      </c>
      <c r="C8" s="6">
        <f>ROUND((B8*[1]ProjectileDataCSV!$F8*(2+[1]ProjectileDataCSV!$G8))+B8*(1-[1]ProjectileDataCSV!$F8),2)</f>
        <v>1.1000000000000001</v>
      </c>
      <c r="D8" s="6">
        <f>$B$29</f>
        <v>0.66</v>
      </c>
      <c r="E8" s="6">
        <f>C$29</f>
        <v>0.66</v>
      </c>
      <c r="F8" s="6">
        <f t="shared" ref="F8:G8" si="15">B50</f>
        <v>0.66</v>
      </c>
      <c r="G8" s="6">
        <f t="shared" si="15"/>
        <v>0.66</v>
      </c>
      <c r="H8" s="6">
        <f t="shared" ref="H8:I8" si="16">B71</f>
        <v>0</v>
      </c>
      <c r="I8" s="6">
        <f t="shared" si="16"/>
        <v>0</v>
      </c>
      <c r="J8" s="6">
        <f t="shared" ref="J8:K8" si="17">B92</f>
        <v>0.66</v>
      </c>
      <c r="K8" s="6">
        <f t="shared" si="17"/>
        <v>0.66</v>
      </c>
    </row>
    <row r="9" spans="1:11" x14ac:dyDescent="0.3">
      <c r="A9" s="4" t="str">
        <f>[1]ProjectileDataCSV!$B9</f>
        <v>Sword(B)</v>
      </c>
      <c r="B9" s="6">
        <f>ROUND([2]TowerDataCSV!$E9*[1]ProjectileDataCSV!$D9,2)</f>
        <v>1.4</v>
      </c>
      <c r="C9" s="6">
        <f>ROUND((B9*[1]ProjectileDataCSV!$F9*(2+[1]ProjectileDataCSV!$G9))+B9*(1-[1]ProjectileDataCSV!$F9),2)</f>
        <v>1.4</v>
      </c>
      <c r="D9" s="6">
        <f>$B$30</f>
        <v>1.4</v>
      </c>
      <c r="E9" s="6">
        <f>$C$30</f>
        <v>1.4</v>
      </c>
      <c r="F9" s="6">
        <f t="shared" ref="F9:G9" si="18">B51</f>
        <v>1.4</v>
      </c>
      <c r="G9" s="6">
        <f t="shared" si="18"/>
        <v>1.4</v>
      </c>
      <c r="H9" s="6">
        <f t="shared" ref="H9:I9" si="19">B72</f>
        <v>1.4</v>
      </c>
      <c r="I9" s="6">
        <f t="shared" si="19"/>
        <v>1.4</v>
      </c>
      <c r="J9" s="6">
        <f t="shared" ref="J9:K9" si="20">B93</f>
        <v>1.4</v>
      </c>
      <c r="K9" s="6">
        <f t="shared" si="20"/>
        <v>1.4</v>
      </c>
    </row>
    <row r="10" spans="1:11" x14ac:dyDescent="0.3">
      <c r="A10" s="2" t="str">
        <f>[1]ProjectileDataCSV!$B10</f>
        <v>Sword(SP)</v>
      </c>
      <c r="B10" s="6">
        <f>ROUND([2]TowerDataCSV!$E10*[1]ProjectileDataCSV!$D10,2)</f>
        <v>11.45</v>
      </c>
      <c r="C10" s="6">
        <f>ROUND((B10*[1]ProjectileDataCSV!$F10*(2+[1]ProjectileDataCSV!$G10))+B10*(1-[1]ProjectileDataCSV!$F10),2)</f>
        <v>12.31</v>
      </c>
      <c r="D10" s="6">
        <f>$B$31</f>
        <v>10.82</v>
      </c>
      <c r="E10" s="6">
        <f>$C$31</f>
        <v>11.41</v>
      </c>
      <c r="F10" s="6">
        <f t="shared" ref="F10:G10" si="21">B52</f>
        <v>3.45</v>
      </c>
      <c r="G10" s="6">
        <f t="shared" si="21"/>
        <v>3.57</v>
      </c>
      <c r="H10" s="6">
        <f t="shared" ref="H10:I10" si="22">B73</f>
        <v>11.7</v>
      </c>
      <c r="I10" s="6">
        <f t="shared" si="22"/>
        <v>12.7</v>
      </c>
      <c r="J10" s="6">
        <f t="shared" ref="J10:K10" si="23">B94</f>
        <v>7.53</v>
      </c>
      <c r="K10" s="6">
        <f t="shared" si="23"/>
        <v>7.75</v>
      </c>
    </row>
    <row r="11" spans="1:11" x14ac:dyDescent="0.3">
      <c r="A11" s="2" t="str">
        <f>[1]ProjectileDataCSV!$B11</f>
        <v>Sword(T)</v>
      </c>
      <c r="B11" s="6">
        <f>ROUND([2]TowerDataCSV!$E11*[1]ProjectileDataCSV!$D11,2)</f>
        <v>11.87</v>
      </c>
      <c r="C11" s="6">
        <f>ROUND((B11*[1]ProjectileDataCSV!$F11*(2+[1]ProjectileDataCSV!$G11))+B11*(1-[1]ProjectileDataCSV!$F11),2)</f>
        <v>13.59</v>
      </c>
      <c r="D11" s="6">
        <f>$B$32</f>
        <v>14.25</v>
      </c>
      <c r="E11" s="6">
        <f>$C$32</f>
        <v>15.45</v>
      </c>
      <c r="F11" s="6">
        <f t="shared" ref="F11:G11" si="24">B53</f>
        <v>7.48</v>
      </c>
      <c r="G11" s="6">
        <f t="shared" si="24"/>
        <v>8.07</v>
      </c>
      <c r="H11" s="6">
        <f t="shared" ref="H11:I11" si="25">B74</f>
        <v>12.35</v>
      </c>
      <c r="I11" s="6">
        <f t="shared" si="25"/>
        <v>14.47</v>
      </c>
      <c r="J11" s="6">
        <f t="shared" ref="J11:K11" si="26">B95</f>
        <v>14.38</v>
      </c>
      <c r="K11" s="6">
        <f t="shared" si="26"/>
        <v>14.89</v>
      </c>
    </row>
    <row r="12" spans="1:11" x14ac:dyDescent="0.3">
      <c r="A12" s="2" t="str">
        <f>[1]ProjectileDataCSV!$B12</f>
        <v>Sword(TR)</v>
      </c>
      <c r="B12" s="6">
        <f>ROUND([2]TowerDataCSV!$E12*[1]ProjectileDataCSV!$D12,2)</f>
        <v>6</v>
      </c>
      <c r="C12" s="6">
        <f>ROUND((B12*[1]ProjectileDataCSV!$F12*(2+[1]ProjectileDataCSV!$G12))+B12*(1-[1]ProjectileDataCSV!$F12),2)</f>
        <v>6</v>
      </c>
      <c r="D12" s="6">
        <f>$B$33</f>
        <v>3.6</v>
      </c>
      <c r="E12" s="6">
        <f>$C$33</f>
        <v>3.6</v>
      </c>
      <c r="F12" s="6">
        <f t="shared" ref="F12:G12" si="27">B54</f>
        <v>3.6</v>
      </c>
      <c r="G12" s="6">
        <f t="shared" si="27"/>
        <v>3.6</v>
      </c>
      <c r="H12" s="6">
        <f t="shared" ref="H12:I12" si="28">B75</f>
        <v>0</v>
      </c>
      <c r="I12" s="6">
        <f t="shared" si="28"/>
        <v>0</v>
      </c>
      <c r="J12" s="6">
        <f t="shared" ref="J12:K12" si="29">B96</f>
        <v>3.6</v>
      </c>
      <c r="K12" s="6">
        <f t="shared" si="29"/>
        <v>3.6</v>
      </c>
    </row>
    <row r="13" spans="1:11" x14ac:dyDescent="0.3">
      <c r="A13" s="2" t="str">
        <f>[1]ProjectileDataCSV!$B13</f>
        <v>Sword(B)</v>
      </c>
      <c r="B13" s="6">
        <f>ROUND([2]TowerDataCSV!$E13*[1]ProjectileDataCSV!$D13,2)</f>
        <v>1.8</v>
      </c>
      <c r="C13" s="6">
        <f>ROUND((B13*[1]ProjectileDataCSV!$F13*(2+[1]ProjectileDataCSV!$G13))+B13*(1-[1]ProjectileDataCSV!$F13),2)</f>
        <v>1.8</v>
      </c>
      <c r="D13" s="6">
        <f>$B$34</f>
        <v>1.8</v>
      </c>
      <c r="E13" s="6">
        <f>$C$34</f>
        <v>1.8</v>
      </c>
      <c r="F13" s="6">
        <f t="shared" ref="F13:G13" si="30">B55</f>
        <v>1.8</v>
      </c>
      <c r="G13" s="6">
        <f t="shared" si="30"/>
        <v>1.8</v>
      </c>
      <c r="H13" s="6">
        <f t="shared" ref="H13:I13" si="31">B76</f>
        <v>1.8</v>
      </c>
      <c r="I13" s="6">
        <f t="shared" si="31"/>
        <v>1.8</v>
      </c>
      <c r="J13" s="6">
        <f t="shared" ref="J13:K13" si="32">B97</f>
        <v>1.8</v>
      </c>
      <c r="K13" s="6">
        <f t="shared" si="32"/>
        <v>1.8</v>
      </c>
    </row>
    <row r="14" spans="1:11" x14ac:dyDescent="0.3">
      <c r="A14" s="5" t="str">
        <f>[1]ProjectileDataCSV!$B14</f>
        <v>Sword(SP)</v>
      </c>
      <c r="B14" s="6">
        <f>ROUND([2]TowerDataCSV!$E14*[1]ProjectileDataCSV!$D14,2)</f>
        <v>86.07</v>
      </c>
      <c r="C14" s="6">
        <f>ROUND((B14*[1]ProjectileDataCSV!$F14*(2+[1]ProjectileDataCSV!$G14))+B14*(1-[1]ProjectileDataCSV!$F14),2)</f>
        <v>97.55</v>
      </c>
      <c r="D14" s="6">
        <f>$B$35</f>
        <v>81.31</v>
      </c>
      <c r="E14" s="6">
        <f>$C$35</f>
        <v>88.92</v>
      </c>
      <c r="F14" s="6">
        <f t="shared" ref="F14:G14" si="33">B56</f>
        <v>25.88</v>
      </c>
      <c r="G14" s="6">
        <f t="shared" si="33"/>
        <v>27.67</v>
      </c>
      <c r="H14" s="6">
        <f t="shared" ref="H14:I14" si="34">B77</f>
        <v>87.9</v>
      </c>
      <c r="I14" s="6">
        <f t="shared" si="34"/>
        <v>100.19</v>
      </c>
      <c r="J14" s="6">
        <f t="shared" ref="J14:K14" si="35">B98</f>
        <v>56.44</v>
      </c>
      <c r="K14" s="6">
        <f t="shared" si="35"/>
        <v>60.8</v>
      </c>
    </row>
    <row r="15" spans="1:11" x14ac:dyDescent="0.3">
      <c r="A15" s="5" t="str">
        <f>[1]ProjectileDataCSV!$B15</f>
        <v>Sword(T)</v>
      </c>
      <c r="B15" s="6">
        <f>ROUND([2]TowerDataCSV!$E15*[1]ProjectileDataCSV!$D15,2)</f>
        <v>98.04</v>
      </c>
      <c r="C15" s="6">
        <f>ROUND((B15*[1]ProjectileDataCSV!$F15*(2+[1]ProjectileDataCSV!$G15))+B15*(1-[1]ProjectileDataCSV!$F15),2)</f>
        <v>123.73</v>
      </c>
      <c r="D15" s="6">
        <f>$B$36</f>
        <v>117.56</v>
      </c>
      <c r="E15" s="6">
        <f>$C$36</f>
        <v>134.91</v>
      </c>
      <c r="F15" s="6">
        <f t="shared" ref="F15:G15" si="36">B57</f>
        <v>61.62</v>
      </c>
      <c r="G15" s="6">
        <f t="shared" si="36"/>
        <v>72.25</v>
      </c>
      <c r="H15" s="6">
        <f t="shared" ref="H15:I15" si="37">B78</f>
        <v>101.85</v>
      </c>
      <c r="I15" s="6">
        <f t="shared" si="37"/>
        <v>130.32</v>
      </c>
      <c r="J15" s="6">
        <f t="shared" ref="J15:K15" si="38">B99</f>
        <v>118.5</v>
      </c>
      <c r="K15" s="6">
        <f t="shared" si="38"/>
        <v>129.49</v>
      </c>
    </row>
    <row r="16" spans="1:11" x14ac:dyDescent="0.3">
      <c r="A16" s="5" t="str">
        <f>[1]ProjectileDataCSV!$B16</f>
        <v>Sword(TR)</v>
      </c>
      <c r="B16" s="6">
        <f>ROUND([2]TowerDataCSV!$E16*[1]ProjectileDataCSV!$D16,2)</f>
        <v>45</v>
      </c>
      <c r="C16" s="6">
        <f>ROUND((B16*[1]ProjectileDataCSV!$F16*(2+[1]ProjectileDataCSV!$G16))+B16*(1-[1]ProjectileDataCSV!$F16),2)</f>
        <v>45</v>
      </c>
      <c r="D16" s="6">
        <f>$B$37</f>
        <v>27</v>
      </c>
      <c r="E16" s="6">
        <f>$C$37</f>
        <v>27</v>
      </c>
      <c r="F16" s="6">
        <f t="shared" ref="F16:G16" si="39">B58</f>
        <v>27</v>
      </c>
      <c r="G16" s="6">
        <f t="shared" si="39"/>
        <v>27</v>
      </c>
      <c r="H16" s="6">
        <f t="shared" ref="H16:I16" si="40">B79</f>
        <v>0</v>
      </c>
      <c r="I16" s="6">
        <f t="shared" si="40"/>
        <v>0</v>
      </c>
      <c r="J16" s="6">
        <f t="shared" ref="J16:K16" si="41">B100</f>
        <v>27</v>
      </c>
      <c r="K16" s="6">
        <f t="shared" si="41"/>
        <v>27</v>
      </c>
    </row>
    <row r="17" spans="1:11" x14ac:dyDescent="0.3">
      <c r="A17" s="5" t="str">
        <f>[1]ProjectileDataCSV!$B17</f>
        <v>Sword(B)</v>
      </c>
      <c r="B17" s="6">
        <f>ROUND([2]TowerDataCSV!$E17*[1]ProjectileDataCSV!$D17,2)</f>
        <v>2.5</v>
      </c>
      <c r="C17" s="6">
        <f>ROUND((B17*[1]ProjectileDataCSV!$F17*(2+[1]ProjectileDataCSV!$G17))+B17*(1-[1]ProjectileDataCSV!$F17),2)</f>
        <v>2.5</v>
      </c>
      <c r="D17" s="6">
        <f>$B$38</f>
        <v>2.5</v>
      </c>
      <c r="E17" s="6">
        <f>$C$38</f>
        <v>2.5</v>
      </c>
      <c r="F17" s="6">
        <f t="shared" ref="F17:G17" si="42">B59</f>
        <v>2.5</v>
      </c>
      <c r="G17" s="6">
        <f t="shared" si="42"/>
        <v>2.5</v>
      </c>
      <c r="H17" s="6">
        <f t="shared" ref="H17:I17" si="43">B80</f>
        <v>2.5</v>
      </c>
      <c r="I17" s="6">
        <f t="shared" si="43"/>
        <v>2.5</v>
      </c>
      <c r="J17" s="6">
        <f t="shared" ref="J17:K17" si="44">B101</f>
        <v>2.5</v>
      </c>
      <c r="K17" s="6">
        <f t="shared" si="44"/>
        <v>2.5</v>
      </c>
    </row>
    <row r="18" spans="1:11" x14ac:dyDescent="0.3">
      <c r="A18" s="3" t="str">
        <f>[1]ProjectileDataCSV!$B18</f>
        <v>Sword(SP)</v>
      </c>
      <c r="B18" s="6">
        <f>ROUND([2]TowerDataCSV!$E18*[1]ProjectileDataCSV!$D18,2)</f>
        <v>1084.46</v>
      </c>
      <c r="C18" s="6">
        <f>ROUND((B18*[1]ProjectileDataCSV!$F18*(2+[1]ProjectileDataCSV!$G18))+B18*(1-[1]ProjectileDataCSV!$F18),2)</f>
        <v>1434.96</v>
      </c>
      <c r="D18" s="8">
        <f>$B$39</f>
        <v>1219.6099999999999</v>
      </c>
      <c r="E18" s="8">
        <f>$C$39</f>
        <v>1476.3</v>
      </c>
      <c r="F18" s="6">
        <f t="shared" ref="F18:G18" si="45">B60</f>
        <v>388.13</v>
      </c>
      <c r="G18" s="6">
        <f t="shared" si="45"/>
        <v>473.2</v>
      </c>
      <c r="H18" s="8">
        <f t="shared" ref="H18:I18" si="46">B81</f>
        <v>1318.5</v>
      </c>
      <c r="I18" s="8">
        <f t="shared" si="46"/>
        <v>1672.56</v>
      </c>
      <c r="J18" s="6">
        <f t="shared" ref="J18:K18" si="47">B102</f>
        <v>846.56</v>
      </c>
      <c r="K18" s="6">
        <f t="shared" si="47"/>
        <v>1128.24</v>
      </c>
    </row>
    <row r="19" spans="1:11" x14ac:dyDescent="0.3">
      <c r="A19" s="3" t="str">
        <f>[1]ProjectileDataCSV!$B19</f>
        <v>Sword(T)</v>
      </c>
      <c r="B19" s="6">
        <f>ROUND([2]TowerDataCSV!$E19*[1]ProjectileDataCSV!$D19,2)</f>
        <v>1960.85</v>
      </c>
      <c r="C19" s="6">
        <f>ROUND((B19*[1]ProjectileDataCSV!$F19*(2+[1]ProjectileDataCSV!$G19))+B19*(1-[1]ProjectileDataCSV!$F19),2)</f>
        <v>3270.11</v>
      </c>
      <c r="D19" s="6">
        <f>$B$40</f>
        <v>2351.25</v>
      </c>
      <c r="E19" s="6">
        <f>$C$40</f>
        <v>3180.58</v>
      </c>
      <c r="F19" s="6">
        <f t="shared" ref="F19:G19" si="48">B61</f>
        <v>1232.4000000000001</v>
      </c>
      <c r="G19" s="6">
        <f t="shared" si="48"/>
        <v>1981.93</v>
      </c>
      <c r="H19" s="6">
        <f t="shared" ref="H19:I19" si="49">B82</f>
        <v>2037</v>
      </c>
      <c r="I19" s="6">
        <f t="shared" si="49"/>
        <v>3131</v>
      </c>
      <c r="J19" s="6">
        <f t="shared" ref="J19:K19" si="50">B103</f>
        <v>2370</v>
      </c>
      <c r="K19" s="6">
        <f t="shared" si="50"/>
        <v>3322.91</v>
      </c>
    </row>
    <row r="20" spans="1:11" x14ac:dyDescent="0.3">
      <c r="A20" s="3" t="str">
        <f>[1]ProjectileDataCSV!$B20</f>
        <v>Sword(TR)</v>
      </c>
      <c r="B20" s="6">
        <f>ROUND([2]TowerDataCSV!$E20*[1]ProjectileDataCSV!$D20,2)</f>
        <v>675</v>
      </c>
      <c r="C20" s="6">
        <f>ROUND((B20*[1]ProjectileDataCSV!$F20*(2+[1]ProjectileDataCSV!$G20))+B20*(1-[1]ProjectileDataCSV!$F20),2)</f>
        <v>675</v>
      </c>
      <c r="D20" s="6">
        <f>$B$41</f>
        <v>405</v>
      </c>
      <c r="E20" s="6">
        <f>$C$41</f>
        <v>405</v>
      </c>
      <c r="F20" s="6">
        <f t="shared" ref="F20:G20" si="51">B62</f>
        <v>405</v>
      </c>
      <c r="G20" s="6">
        <f t="shared" si="51"/>
        <v>405</v>
      </c>
      <c r="H20" s="6">
        <f t="shared" ref="H20:I20" si="52">B83</f>
        <v>0</v>
      </c>
      <c r="I20" s="6">
        <f t="shared" si="52"/>
        <v>0</v>
      </c>
      <c r="J20" s="6">
        <f t="shared" ref="J20:K20" si="53">B104</f>
        <v>405</v>
      </c>
      <c r="K20" s="6">
        <f t="shared" si="53"/>
        <v>405</v>
      </c>
    </row>
    <row r="21" spans="1:11" x14ac:dyDescent="0.3">
      <c r="A21" s="3" t="str">
        <f>[1]ProjectileDataCSV!$B21</f>
        <v>Sword(B)</v>
      </c>
      <c r="B21" s="6">
        <f>ROUND([2]TowerDataCSV!$E21*[1]ProjectileDataCSV!$D21,2)</f>
        <v>5</v>
      </c>
      <c r="C21" s="6">
        <f>ROUND((B21*[1]ProjectileDataCSV!$F21*(2+[1]ProjectileDataCSV!$G21))+B21*(1-[1]ProjectileDataCSV!$F21),2)</f>
        <v>5</v>
      </c>
      <c r="D21" s="6">
        <f>$B$42</f>
        <v>5</v>
      </c>
      <c r="E21" s="6">
        <f>$C$42</f>
        <v>5</v>
      </c>
      <c r="F21" s="6">
        <f t="shared" ref="F21:G21" si="54">B63</f>
        <v>5</v>
      </c>
      <c r="G21" s="6">
        <f t="shared" si="54"/>
        <v>5</v>
      </c>
      <c r="H21" s="6">
        <f t="shared" ref="H21:I21" si="55">B84</f>
        <v>5</v>
      </c>
      <c r="I21" s="6">
        <f t="shared" si="55"/>
        <v>5</v>
      </c>
      <c r="J21" s="6">
        <f t="shared" ref="J21:K21" si="56">B105</f>
        <v>5</v>
      </c>
      <c r="K21" s="6">
        <f t="shared" si="56"/>
        <v>5</v>
      </c>
    </row>
    <row r="22" spans="1:11" x14ac:dyDescent="0.3">
      <c r="E22" s="6"/>
    </row>
    <row r="23" spans="1:11" x14ac:dyDescent="0.3">
      <c r="A23" s="1" t="str">
        <f>[1]ProjectileDataCSV!$B23</f>
        <v>Bow(SP)</v>
      </c>
      <c r="B23" s="6">
        <f>ROUND([2]TowerDataCSV!$E23*[1]ProjectileDataCSV!$D23,2)</f>
        <v>0.46</v>
      </c>
      <c r="C23" s="6">
        <f>ROUND((B23*[1]ProjectileDataCSV!$F23*(2+[1]ProjectileDataCSV!$G23))+B23*(1-[1]ProjectileDataCSV!$F23),2)</f>
        <v>0.47</v>
      </c>
      <c r="E23" s="6"/>
    </row>
    <row r="24" spans="1:11" x14ac:dyDescent="0.3">
      <c r="A24" s="1" t="str">
        <f>[1]ProjectileDataCSV!$B24</f>
        <v>Bow(T)</v>
      </c>
      <c r="B24" s="6">
        <f>ROUND([2]TowerDataCSV!$E24*[1]ProjectileDataCSV!$D24,2)</f>
        <v>0.54</v>
      </c>
      <c r="C24" s="6">
        <f>ROUND((B24*[1]ProjectileDataCSV!$F24*(2+[1]ProjectileDataCSV!$G24))+B24*(1-[1]ProjectileDataCSV!$F24),2)</f>
        <v>0.56999999999999995</v>
      </c>
      <c r="E24" s="6"/>
    </row>
    <row r="25" spans="1:11" x14ac:dyDescent="0.3">
      <c r="A25" s="1" t="str">
        <f>[1]ProjectileDataCSV!$B25</f>
        <v>Bow(TR)</v>
      </c>
      <c r="B25" s="6">
        <f>ROUND([2]TowerDataCSV!$E25*[1]ProjectileDataCSV!$D25,2)</f>
        <v>0.15</v>
      </c>
      <c r="C25" s="6">
        <f>ROUND((B25*[1]ProjectileDataCSV!$F25*(2+[1]ProjectileDataCSV!$G25))+B25*(1-[1]ProjectileDataCSV!$F25),2)</f>
        <v>0.15</v>
      </c>
      <c r="E25" s="6"/>
    </row>
    <row r="26" spans="1:11" x14ac:dyDescent="0.3">
      <c r="A26" s="1" t="str">
        <f>[1]ProjectileDataCSV!$B26</f>
        <v>Bow(B)</v>
      </c>
      <c r="B26" s="6">
        <f>ROUND([2]TowerDataCSV!$E26*[1]ProjectileDataCSV!$D26,2)</f>
        <v>1.2</v>
      </c>
      <c r="C26" s="6">
        <f>ROUND((B26*[1]ProjectileDataCSV!$F26*(2+[1]ProjectileDataCSV!$G26))+B26*(1-[1]ProjectileDataCSV!$F26),2)</f>
        <v>1.2</v>
      </c>
      <c r="E26" s="6"/>
    </row>
    <row r="27" spans="1:11" x14ac:dyDescent="0.3">
      <c r="A27" s="4" t="str">
        <f>[1]ProjectileDataCSV!$B27</f>
        <v>Bow(SP)</v>
      </c>
      <c r="B27" s="6">
        <f>ROUND([2]TowerDataCSV!$E27*[1]ProjectileDataCSV!$D27,2)</f>
        <v>1.96</v>
      </c>
      <c r="C27" s="6">
        <f>ROUND((B27*[1]ProjectileDataCSV!$F27*(2+[1]ProjectileDataCSV!$G27))+B27*(1-[1]ProjectileDataCSV!$F27),2)</f>
        <v>2.0299999999999998</v>
      </c>
      <c r="E27" s="6"/>
    </row>
    <row r="28" spans="1:11" x14ac:dyDescent="0.3">
      <c r="A28" s="4" t="str">
        <f>[1]ProjectileDataCSV!$B28</f>
        <v>Bow(T)</v>
      </c>
      <c r="B28" s="6">
        <f>ROUND([2]TowerDataCSV!$E28*[1]ProjectileDataCSV!$D28,2)</f>
        <v>2.38</v>
      </c>
      <c r="C28" s="6">
        <f>ROUND((B28*[1]ProjectileDataCSV!$F28*(2+[1]ProjectileDataCSV!$G28))+B28*(1-[1]ProjectileDataCSV!$F28),2)</f>
        <v>2.52</v>
      </c>
      <c r="E28" s="6"/>
    </row>
    <row r="29" spans="1:11" x14ac:dyDescent="0.3">
      <c r="A29" s="4" t="str">
        <f>[1]ProjectileDataCSV!$B29</f>
        <v>Bow(TR)</v>
      </c>
      <c r="B29" s="6">
        <f>ROUND([2]TowerDataCSV!$E29*[1]ProjectileDataCSV!$D29,2)</f>
        <v>0.66</v>
      </c>
      <c r="C29" s="6">
        <f>ROUND((B29*[1]ProjectileDataCSV!$F29*(2+[1]ProjectileDataCSV!$G29))+B29*(1-[1]ProjectileDataCSV!$F29),2)</f>
        <v>0.66</v>
      </c>
      <c r="E29" s="6"/>
    </row>
    <row r="30" spans="1:11" x14ac:dyDescent="0.3">
      <c r="A30" s="4" t="str">
        <f>[1]ProjectileDataCSV!$B30</f>
        <v>Bow(B)</v>
      </c>
      <c r="B30" s="6">
        <f>ROUND([2]TowerDataCSV!$E30*[1]ProjectileDataCSV!$D30,2)</f>
        <v>1.4</v>
      </c>
      <c r="C30" s="6">
        <f>ROUND((B30*[1]ProjectileDataCSV!$F30*(2+[1]ProjectileDataCSV!$G30))+B30*(1-[1]ProjectileDataCSV!$F30),2)</f>
        <v>1.4</v>
      </c>
      <c r="E30" s="6"/>
    </row>
    <row r="31" spans="1:11" x14ac:dyDescent="0.3">
      <c r="A31" s="2" t="str">
        <f>[1]ProjectileDataCSV!$B31</f>
        <v>Bow(SP)</v>
      </c>
      <c r="B31" s="6">
        <f>ROUND([2]TowerDataCSV!$E31*[1]ProjectileDataCSV!$D31,2)</f>
        <v>10.82</v>
      </c>
      <c r="C31" s="6">
        <f>ROUND((B31*[1]ProjectileDataCSV!$F31*(2+[1]ProjectileDataCSV!$G31))+B31*(1-[1]ProjectileDataCSV!$F31),2)</f>
        <v>11.41</v>
      </c>
      <c r="E31" s="6"/>
    </row>
    <row r="32" spans="1:11" x14ac:dyDescent="0.3">
      <c r="A32" s="2" t="str">
        <f>[1]ProjectileDataCSV!$B32</f>
        <v>Bow(T)</v>
      </c>
      <c r="B32" s="6">
        <f>ROUND([2]TowerDataCSV!$E32*[1]ProjectileDataCSV!$D32,2)</f>
        <v>14.25</v>
      </c>
      <c r="C32" s="6">
        <f>ROUND((B32*[1]ProjectileDataCSV!$F32*(2+[1]ProjectileDataCSV!$G32))+B32*(1-[1]ProjectileDataCSV!$F32),2)</f>
        <v>15.45</v>
      </c>
      <c r="E32" s="6"/>
    </row>
    <row r="33" spans="1:5" x14ac:dyDescent="0.3">
      <c r="A33" s="2" t="str">
        <f>[1]ProjectileDataCSV!$B33</f>
        <v>Bow(TR)</v>
      </c>
      <c r="B33" s="6">
        <f>ROUND([2]TowerDataCSV!$E33*[1]ProjectileDataCSV!$D33,2)</f>
        <v>3.6</v>
      </c>
      <c r="C33" s="6">
        <f>ROUND((B33*[1]ProjectileDataCSV!$F33*(2+[1]ProjectileDataCSV!$G33))+B33*(1-[1]ProjectileDataCSV!$F33),2)</f>
        <v>3.6</v>
      </c>
      <c r="E33" s="6"/>
    </row>
    <row r="34" spans="1:5" x14ac:dyDescent="0.3">
      <c r="A34" s="2" t="str">
        <f>[1]ProjectileDataCSV!$B34</f>
        <v>Bow(B)</v>
      </c>
      <c r="B34" s="6">
        <f>ROUND([2]TowerDataCSV!$E34*[1]ProjectileDataCSV!$D34,2)</f>
        <v>1.8</v>
      </c>
      <c r="C34" s="6">
        <f>ROUND((B34*[1]ProjectileDataCSV!$F34*(2+[1]ProjectileDataCSV!$G34))+B34*(1-[1]ProjectileDataCSV!$F34),2)</f>
        <v>1.8</v>
      </c>
      <c r="E34" s="6"/>
    </row>
    <row r="35" spans="1:5" x14ac:dyDescent="0.3">
      <c r="A35" s="5" t="str">
        <f>[1]ProjectileDataCSV!$B35</f>
        <v>Bow(SP)</v>
      </c>
      <c r="B35" s="6">
        <f>ROUND([2]TowerDataCSV!$E35*[1]ProjectileDataCSV!$D35,2)</f>
        <v>81.31</v>
      </c>
      <c r="C35" s="6">
        <f>ROUND((B35*[1]ProjectileDataCSV!$F35*(2+[1]ProjectileDataCSV!$G35))+B35*(1-[1]ProjectileDataCSV!$F35),2)</f>
        <v>88.92</v>
      </c>
      <c r="E35" s="6"/>
    </row>
    <row r="36" spans="1:5" x14ac:dyDescent="0.3">
      <c r="A36" s="5" t="str">
        <f>[1]ProjectileDataCSV!$B36</f>
        <v>Bow(T)</v>
      </c>
      <c r="B36" s="6">
        <f>ROUND([2]TowerDataCSV!$E36*[1]ProjectileDataCSV!$D36,2)</f>
        <v>117.56</v>
      </c>
      <c r="C36" s="6">
        <f>ROUND((B36*[1]ProjectileDataCSV!$F36*(2+[1]ProjectileDataCSV!$G36))+B36*(1-[1]ProjectileDataCSV!$F36),2)</f>
        <v>134.91</v>
      </c>
      <c r="E36" s="6"/>
    </row>
    <row r="37" spans="1:5" x14ac:dyDescent="0.3">
      <c r="A37" s="5" t="str">
        <f>[1]ProjectileDataCSV!$B37</f>
        <v>Bow(TR)</v>
      </c>
      <c r="B37" s="6">
        <f>ROUND([2]TowerDataCSV!$E37*[1]ProjectileDataCSV!$D37,2)</f>
        <v>27</v>
      </c>
      <c r="C37" s="6">
        <f>ROUND((B37*[1]ProjectileDataCSV!$F37*(2+[1]ProjectileDataCSV!$G37))+B37*(1-[1]ProjectileDataCSV!$F37),2)</f>
        <v>27</v>
      </c>
      <c r="E37" s="6"/>
    </row>
    <row r="38" spans="1:5" x14ac:dyDescent="0.3">
      <c r="A38" s="5" t="str">
        <f>[1]ProjectileDataCSV!$B38</f>
        <v>Bow(B)</v>
      </c>
      <c r="B38" s="6">
        <f>ROUND([2]TowerDataCSV!$E38*[1]ProjectileDataCSV!$D38,2)</f>
        <v>2.5</v>
      </c>
      <c r="C38" s="6">
        <f>ROUND((B38*[1]ProjectileDataCSV!$F38*(2+[1]ProjectileDataCSV!$G38))+B38*(1-[1]ProjectileDataCSV!$F38),2)</f>
        <v>2.5</v>
      </c>
      <c r="E38" s="6"/>
    </row>
    <row r="39" spans="1:5" x14ac:dyDescent="0.3">
      <c r="A39" s="3" t="str">
        <f>[1]ProjectileDataCSV!$B39</f>
        <v>Bow(SP)</v>
      </c>
      <c r="B39" s="6">
        <f>ROUND([2]TowerDataCSV!$E39*[1]ProjectileDataCSV!$D39,2)</f>
        <v>1219.6099999999999</v>
      </c>
      <c r="C39" s="6">
        <f>ROUND((B39*[1]ProjectileDataCSV!$F39*(2+[1]ProjectileDataCSV!$G39))+B39*(1-[1]ProjectileDataCSV!$F39),2)</f>
        <v>1476.3</v>
      </c>
      <c r="E39" s="6"/>
    </row>
    <row r="40" spans="1:5" x14ac:dyDescent="0.3">
      <c r="A40" s="3" t="str">
        <f>[1]ProjectileDataCSV!$B40</f>
        <v>Bow(T)</v>
      </c>
      <c r="B40" s="6">
        <f>ROUND([2]TowerDataCSV!$E40*[1]ProjectileDataCSV!$D40,2)</f>
        <v>2351.25</v>
      </c>
      <c r="C40" s="6">
        <f>ROUND((B40*[1]ProjectileDataCSV!$F40*(2+[1]ProjectileDataCSV!$G40))+B40*(1-[1]ProjectileDataCSV!$F40),2)</f>
        <v>3180.58</v>
      </c>
      <c r="E40" s="6"/>
    </row>
    <row r="41" spans="1:5" x14ac:dyDescent="0.3">
      <c r="A41" s="3" t="str">
        <f>[1]ProjectileDataCSV!$B41</f>
        <v>Bow(TR)</v>
      </c>
      <c r="B41" s="6">
        <f>ROUND([2]TowerDataCSV!$E41*[1]ProjectileDataCSV!$D41,2)</f>
        <v>405</v>
      </c>
      <c r="C41" s="6">
        <f>ROUND((B41*[1]ProjectileDataCSV!$F41*(2+[1]ProjectileDataCSV!$G41))+B41*(1-[1]ProjectileDataCSV!$F41),2)</f>
        <v>405</v>
      </c>
    </row>
    <row r="42" spans="1:5" x14ac:dyDescent="0.3">
      <c r="A42" s="3" t="str">
        <f>[1]ProjectileDataCSV!$B42</f>
        <v>Bow(B)</v>
      </c>
      <c r="B42" s="6">
        <f>ROUND([2]TowerDataCSV!$E42*[1]ProjectileDataCSV!$D42,2)</f>
        <v>5</v>
      </c>
      <c r="C42" s="6">
        <f>ROUND((B42*[1]ProjectileDataCSV!$F42*(2+[1]ProjectileDataCSV!$G42))+B42*(1-[1]ProjectileDataCSV!$F42),2)</f>
        <v>5</v>
      </c>
    </row>
    <row r="44" spans="1:5" x14ac:dyDescent="0.3">
      <c r="A44" s="1" t="str">
        <f>[1]ProjectileDataCSV!$B44</f>
        <v>Shield(SP)</v>
      </c>
      <c r="B44" s="6">
        <f>ROUND([2]TowerDataCSV!$E44*[1]ProjectileDataCSV!$D44,2)</f>
        <v>0.15</v>
      </c>
      <c r="C44" s="6">
        <f>ROUND((B44*[1]ProjectileDataCSV!$F44*(2+[1]ProjectileDataCSV!$G44))+B44*(1-[1]ProjectileDataCSV!$F44),2)</f>
        <v>0.15</v>
      </c>
    </row>
    <row r="45" spans="1:5" x14ac:dyDescent="0.3">
      <c r="A45" s="1" t="str">
        <f>[1]ProjectileDataCSV!$B45</f>
        <v>Shield(T)</v>
      </c>
      <c r="B45" s="6">
        <f>ROUND([2]TowerDataCSV!$E45*[1]ProjectileDataCSV!$D45,2)</f>
        <v>0.28999999999999998</v>
      </c>
      <c r="C45" s="6">
        <f>ROUND((B45*[1]ProjectileDataCSV!$F45*(2+[1]ProjectileDataCSV!$G45))+B45*(1-[1]ProjectileDataCSV!$F45),2)</f>
        <v>0.3</v>
      </c>
    </row>
    <row r="46" spans="1:5" x14ac:dyDescent="0.3">
      <c r="A46" s="1" t="str">
        <f>[1]ProjectileDataCSV!$B46</f>
        <v>Shield(TR)</v>
      </c>
      <c r="B46" s="6">
        <f>ROUND([2]TowerDataCSV!$E46*[1]ProjectileDataCSV!$D46,2)</f>
        <v>0.15</v>
      </c>
      <c r="C46" s="6">
        <f>ROUND((B46*[1]ProjectileDataCSV!$F46*(2+[1]ProjectileDataCSV!$G46))+B46*(1-[1]ProjectileDataCSV!$F46),2)</f>
        <v>0.15</v>
      </c>
    </row>
    <row r="47" spans="1:5" x14ac:dyDescent="0.3">
      <c r="A47" s="1" t="str">
        <f>[1]ProjectileDataCSV!$B47</f>
        <v>Shield(B)</v>
      </c>
      <c r="B47" s="6">
        <f>ROUND([2]TowerDataCSV!$E47*[1]ProjectileDataCSV!$D47,2)</f>
        <v>1.2</v>
      </c>
      <c r="C47" s="6">
        <f>ROUND((B47*[1]ProjectileDataCSV!$F47*(2+[1]ProjectileDataCSV!$G47))+B47*(1-[1]ProjectileDataCSV!$F47),2)</f>
        <v>1.2</v>
      </c>
    </row>
    <row r="48" spans="1:5" x14ac:dyDescent="0.3">
      <c r="A48" s="4" t="str">
        <f>[1]ProjectileDataCSV!$B48</f>
        <v>Shield(SP)</v>
      </c>
      <c r="B48" s="6">
        <f>ROUND([2]TowerDataCSV!$E48*[1]ProjectileDataCSV!$D48,2)</f>
        <v>0.63</v>
      </c>
      <c r="C48" s="6">
        <f>ROUND((B48*[1]ProjectileDataCSV!$F48*(2+[1]ProjectileDataCSV!$G48))+B48*(1-[1]ProjectileDataCSV!$F48),2)</f>
        <v>0.64</v>
      </c>
    </row>
    <row r="49" spans="1:3" x14ac:dyDescent="0.3">
      <c r="A49" s="4" t="str">
        <f>[1]ProjectileDataCSV!$B49</f>
        <v>Shield(T)</v>
      </c>
      <c r="B49" s="6">
        <f>ROUND([2]TowerDataCSV!$E49*[1]ProjectileDataCSV!$D49,2)</f>
        <v>1.25</v>
      </c>
      <c r="C49" s="6">
        <f>ROUND((B49*[1]ProjectileDataCSV!$F49*(2+[1]ProjectileDataCSV!$G49))+B49*(1-[1]ProjectileDataCSV!$F49),2)</f>
        <v>1.31</v>
      </c>
    </row>
    <row r="50" spans="1:3" x14ac:dyDescent="0.3">
      <c r="A50" s="4" t="str">
        <f>[1]ProjectileDataCSV!$B50</f>
        <v>Shield(TR)</v>
      </c>
      <c r="B50" s="6">
        <f>ROUND([2]TowerDataCSV!$E50*[1]ProjectileDataCSV!$D50,2)</f>
        <v>0.66</v>
      </c>
      <c r="C50" s="6">
        <f>ROUND((B50*[1]ProjectileDataCSV!$F50*(2+[1]ProjectileDataCSV!$G50))+B50*(1-[1]ProjectileDataCSV!$F50),2)</f>
        <v>0.66</v>
      </c>
    </row>
    <row r="51" spans="1:3" x14ac:dyDescent="0.3">
      <c r="A51" s="4" t="str">
        <f>[1]ProjectileDataCSV!$B51</f>
        <v>Shield(B)</v>
      </c>
      <c r="B51" s="6">
        <f>ROUND([2]TowerDataCSV!$E51*[1]ProjectileDataCSV!$D51,2)</f>
        <v>1.4</v>
      </c>
      <c r="C51" s="6">
        <f>ROUND((B51*[1]ProjectileDataCSV!$F51*(2+[1]ProjectileDataCSV!$G51))+B51*(1-[1]ProjectileDataCSV!$F51),2)</f>
        <v>1.4</v>
      </c>
    </row>
    <row r="52" spans="1:3" x14ac:dyDescent="0.3">
      <c r="A52" s="2" t="str">
        <f>[1]ProjectileDataCSV!$B52</f>
        <v>Shield(SP)</v>
      </c>
      <c r="B52" s="6">
        <f>ROUND([2]TowerDataCSV!$E52*[1]ProjectileDataCSV!$D52,2)</f>
        <v>3.45</v>
      </c>
      <c r="C52" s="6">
        <f>ROUND((B52*[1]ProjectileDataCSV!$F52*(2+[1]ProjectileDataCSV!$G52))+B52*(1-[1]ProjectileDataCSV!$F52),2)</f>
        <v>3.57</v>
      </c>
    </row>
    <row r="53" spans="1:3" x14ac:dyDescent="0.3">
      <c r="A53" s="2" t="str">
        <f>[1]ProjectileDataCSV!$B53</f>
        <v>Shield(T)</v>
      </c>
      <c r="B53" s="6">
        <f>ROUND([2]TowerDataCSV!$E53*[1]ProjectileDataCSV!$D53,2)</f>
        <v>7.48</v>
      </c>
      <c r="C53" s="6">
        <f>ROUND((B53*[1]ProjectileDataCSV!$F53*(2+[1]ProjectileDataCSV!$G53))+B53*(1-[1]ProjectileDataCSV!$F53),2)</f>
        <v>8.07</v>
      </c>
    </row>
    <row r="54" spans="1:3" x14ac:dyDescent="0.3">
      <c r="A54" s="2" t="str">
        <f>[1]ProjectileDataCSV!$B54</f>
        <v>Shield(TR)</v>
      </c>
      <c r="B54" s="6">
        <f>ROUND([2]TowerDataCSV!$E54*[1]ProjectileDataCSV!$D54,2)</f>
        <v>3.6</v>
      </c>
      <c r="C54" s="6">
        <f>ROUND((B54*[1]ProjectileDataCSV!$F54*(2+[1]ProjectileDataCSV!$G54))+B54*(1-[1]ProjectileDataCSV!$F54),2)</f>
        <v>3.6</v>
      </c>
    </row>
    <row r="55" spans="1:3" x14ac:dyDescent="0.3">
      <c r="A55" s="2" t="str">
        <f>[1]ProjectileDataCSV!$B55</f>
        <v>Shield(B)</v>
      </c>
      <c r="B55" s="6">
        <f>ROUND([2]TowerDataCSV!$E55*[1]ProjectileDataCSV!$D55,2)</f>
        <v>1.8</v>
      </c>
      <c r="C55" s="6">
        <f>ROUND((B55*[1]ProjectileDataCSV!$F55*(2+[1]ProjectileDataCSV!$G55))+B55*(1-[1]ProjectileDataCSV!$F55),2)</f>
        <v>1.8</v>
      </c>
    </row>
    <row r="56" spans="1:3" x14ac:dyDescent="0.3">
      <c r="A56" s="5" t="str">
        <f>[1]ProjectileDataCSV!$B56</f>
        <v>Shield(SP)</v>
      </c>
      <c r="B56" s="6">
        <f>ROUND([2]TowerDataCSV!$E56*[1]ProjectileDataCSV!$D56,2)</f>
        <v>25.88</v>
      </c>
      <c r="C56" s="6">
        <f>ROUND((B56*[1]ProjectileDataCSV!$F56*(2+[1]ProjectileDataCSV!$G56))+B56*(1-[1]ProjectileDataCSV!$F56),2)</f>
        <v>27.67</v>
      </c>
    </row>
    <row r="57" spans="1:3" x14ac:dyDescent="0.3">
      <c r="A57" s="5" t="str">
        <f>[1]ProjectileDataCSV!$B57</f>
        <v>Shield(T)</v>
      </c>
      <c r="B57" s="6">
        <f>ROUND([2]TowerDataCSV!$E57*[1]ProjectileDataCSV!$D57,2)</f>
        <v>61.62</v>
      </c>
      <c r="C57" s="6">
        <f>ROUND((B57*[1]ProjectileDataCSV!$F57*(2+[1]ProjectileDataCSV!$G57))+B57*(1-[1]ProjectileDataCSV!$F57),2)</f>
        <v>72.25</v>
      </c>
    </row>
    <row r="58" spans="1:3" x14ac:dyDescent="0.3">
      <c r="A58" s="5" t="str">
        <f>[1]ProjectileDataCSV!$B58</f>
        <v>Shield(TR)</v>
      </c>
      <c r="B58" s="6">
        <f>ROUND([2]TowerDataCSV!$E58*[1]ProjectileDataCSV!$D58,2)</f>
        <v>27</v>
      </c>
      <c r="C58" s="6">
        <f>ROUND((B58*[1]ProjectileDataCSV!$F58*(2+[1]ProjectileDataCSV!$G58))+B58*(1-[1]ProjectileDataCSV!$F58),2)</f>
        <v>27</v>
      </c>
    </row>
    <row r="59" spans="1:3" x14ac:dyDescent="0.3">
      <c r="A59" s="5" t="str">
        <f>[1]ProjectileDataCSV!$B59</f>
        <v>Shield(B)</v>
      </c>
      <c r="B59" s="6">
        <f>ROUND([2]TowerDataCSV!$E59*[1]ProjectileDataCSV!$D59,2)</f>
        <v>2.5</v>
      </c>
      <c r="C59" s="6">
        <f>ROUND((B59*[1]ProjectileDataCSV!$F59*(2+[1]ProjectileDataCSV!$G59))+B59*(1-[1]ProjectileDataCSV!$F59),2)</f>
        <v>2.5</v>
      </c>
    </row>
    <row r="60" spans="1:3" x14ac:dyDescent="0.3">
      <c r="A60" s="3" t="str">
        <f>[1]ProjectileDataCSV!$B60</f>
        <v>Shield(SP)</v>
      </c>
      <c r="B60" s="6">
        <f>ROUND([2]TowerDataCSV!$E60*[1]ProjectileDataCSV!$D60,2)</f>
        <v>388.13</v>
      </c>
      <c r="C60" s="6">
        <f>ROUND((B60*[1]ProjectileDataCSV!$F60*(2+[1]ProjectileDataCSV!$G60))+B60*(1-[1]ProjectileDataCSV!$F60),2)</f>
        <v>473.2</v>
      </c>
    </row>
    <row r="61" spans="1:3" x14ac:dyDescent="0.3">
      <c r="A61" s="3" t="str">
        <f>[1]ProjectileDataCSV!$B61</f>
        <v>Shield(T)</v>
      </c>
      <c r="B61" s="6">
        <f>ROUND([2]TowerDataCSV!$E61*[1]ProjectileDataCSV!$D61,2)</f>
        <v>1232.4000000000001</v>
      </c>
      <c r="C61" s="6">
        <f>ROUND((B61*[1]ProjectileDataCSV!$F61*(2+[1]ProjectileDataCSV!$G61))+B61*(1-[1]ProjectileDataCSV!$F61),2)</f>
        <v>1981.93</v>
      </c>
    </row>
    <row r="62" spans="1:3" x14ac:dyDescent="0.3">
      <c r="A62" s="3" t="str">
        <f>[1]ProjectileDataCSV!$B62</f>
        <v>Shield(TR)</v>
      </c>
      <c r="B62" s="6">
        <f>ROUND([2]TowerDataCSV!$E62*[1]ProjectileDataCSV!$D62,2)</f>
        <v>405</v>
      </c>
      <c r="C62" s="6">
        <f>ROUND((B62*[1]ProjectileDataCSV!$F62*(2+[1]ProjectileDataCSV!$G62))+B62*(1-[1]ProjectileDataCSV!$F62),2)</f>
        <v>405</v>
      </c>
    </row>
    <row r="63" spans="1:3" x14ac:dyDescent="0.3">
      <c r="A63" s="3" t="str">
        <f>[1]ProjectileDataCSV!$B63</f>
        <v>Shield(B)</v>
      </c>
      <c r="B63" s="6">
        <f>ROUND([2]TowerDataCSV!$E63*[1]ProjectileDataCSV!$D63,2)</f>
        <v>5</v>
      </c>
      <c r="C63" s="6">
        <f>ROUND((B63*[1]ProjectileDataCSV!$F63*(2+[1]ProjectileDataCSV!$G63))+B63*(1-[1]ProjectileDataCSV!$F63),2)</f>
        <v>5</v>
      </c>
    </row>
    <row r="65" spans="1:3" x14ac:dyDescent="0.3">
      <c r="A65" s="1" t="str">
        <f>[1]ProjectileDataCSV!$B65</f>
        <v>Spear(SP)</v>
      </c>
      <c r="B65" s="6">
        <f>ROUND([2]TowerDataCSV!$E65*[1]ProjectileDataCSV!$D65,2)</f>
        <v>0.5</v>
      </c>
      <c r="C65" s="6">
        <f>ROUND((B65*[1]ProjectileDataCSV!$F65*(2+[1]ProjectileDataCSV!$G65))+B65*(1-[1]ProjectileDataCSV!$F65),2)</f>
        <v>0.53</v>
      </c>
    </row>
    <row r="66" spans="1:3" x14ac:dyDescent="0.3">
      <c r="A66" s="1" t="str">
        <f>[1]ProjectileDataCSV!$B66</f>
        <v>Spear(T)</v>
      </c>
      <c r="B66" s="6">
        <f>ROUND([2]TowerDataCSV!$E66*[1]ProjectileDataCSV!$D66,2)</f>
        <v>0.47</v>
      </c>
      <c r="C66" s="6">
        <f>ROUND((B66*[1]ProjectileDataCSV!$F66*(2+[1]ProjectileDataCSV!$G66))+B66*(1-[1]ProjectileDataCSV!$F66),2)</f>
        <v>0.52</v>
      </c>
    </row>
    <row r="67" spans="1:3" x14ac:dyDescent="0.3">
      <c r="A67" s="1" t="str">
        <f>[1]ProjectileDataCSV!$B67</f>
        <v>Spear(TR)</v>
      </c>
      <c r="B67" s="6">
        <f>ROUND([2]TowerDataCSV!$E67*[1]ProjectileDataCSV!$D67,2)</f>
        <v>0</v>
      </c>
      <c r="C67" s="6">
        <f>ROUND((B67*[1]ProjectileDataCSV!$F67*(2+[1]ProjectileDataCSV!$G67))+B67*(1-[1]ProjectileDataCSV!$F67),2)</f>
        <v>0</v>
      </c>
    </row>
    <row r="68" spans="1:3" x14ac:dyDescent="0.3">
      <c r="A68" s="1" t="str">
        <f>[1]ProjectileDataCSV!$B68</f>
        <v>Spear(B)</v>
      </c>
      <c r="B68" s="6">
        <f>ROUND([2]TowerDataCSV!$E68*[1]ProjectileDataCSV!$D68,2)</f>
        <v>1.2</v>
      </c>
      <c r="C68" s="6">
        <f>ROUND((B68*[1]ProjectileDataCSV!$F68*(2+[1]ProjectileDataCSV!$G68))+B68*(1-[1]ProjectileDataCSV!$F68),2)</f>
        <v>1.2</v>
      </c>
    </row>
    <row r="69" spans="1:3" x14ac:dyDescent="0.3">
      <c r="A69" s="4" t="str">
        <f>[1]ProjectileDataCSV!$B69</f>
        <v>Spear(SP)</v>
      </c>
      <c r="B69" s="6">
        <f>ROUND([2]TowerDataCSV!$E69*[1]ProjectileDataCSV!$D69,2)</f>
        <v>2.12</v>
      </c>
      <c r="C69" s="6">
        <f>ROUND((B69*[1]ProjectileDataCSV!$F69*(2+[1]ProjectileDataCSV!$G69))+B69*(1-[1]ProjectileDataCSV!$F69),2)</f>
        <v>2.25</v>
      </c>
    </row>
    <row r="70" spans="1:3" x14ac:dyDescent="0.3">
      <c r="A70" s="4" t="str">
        <f>[1]ProjectileDataCSV!$B70</f>
        <v>Spear(T)</v>
      </c>
      <c r="B70" s="6">
        <f>ROUND([2]TowerDataCSV!$E70*[1]ProjectileDataCSV!$D70,2)</f>
        <v>2.06</v>
      </c>
      <c r="C70" s="6">
        <f>ROUND((B70*[1]ProjectileDataCSV!$F70*(2+[1]ProjectileDataCSV!$G70))+B70*(1-[1]ProjectileDataCSV!$F70),2)</f>
        <v>2.31</v>
      </c>
    </row>
    <row r="71" spans="1:3" x14ac:dyDescent="0.3">
      <c r="A71" s="4" t="str">
        <f>[1]ProjectileDataCSV!$B71</f>
        <v>Spear(TR)</v>
      </c>
      <c r="B71" s="6">
        <f>ROUND([2]TowerDataCSV!$E71*[1]ProjectileDataCSV!$D71,2)</f>
        <v>0</v>
      </c>
      <c r="C71" s="6">
        <f>ROUND((B71*[1]ProjectileDataCSV!$F71*(2+[1]ProjectileDataCSV!$G71))+B71*(1-[1]ProjectileDataCSV!$F71),2)</f>
        <v>0</v>
      </c>
    </row>
    <row r="72" spans="1:3" x14ac:dyDescent="0.3">
      <c r="A72" s="4" t="str">
        <f>[1]ProjectileDataCSV!$B72</f>
        <v>Spear(B)</v>
      </c>
      <c r="B72" s="6">
        <f>ROUND([2]TowerDataCSV!$E72*[1]ProjectileDataCSV!$D72,2)</f>
        <v>1.4</v>
      </c>
      <c r="C72" s="6">
        <f>ROUND((B72*[1]ProjectileDataCSV!$F72*(2+[1]ProjectileDataCSV!$G72))+B72*(1-[1]ProjectileDataCSV!$F72),2)</f>
        <v>1.4</v>
      </c>
    </row>
    <row r="73" spans="1:3" x14ac:dyDescent="0.3">
      <c r="A73" s="2" t="str">
        <f>[1]ProjectileDataCSV!$B73</f>
        <v>Spear(SP)</v>
      </c>
      <c r="B73" s="6">
        <f>ROUND([2]TowerDataCSV!$E73*[1]ProjectileDataCSV!$D73,2)</f>
        <v>11.7</v>
      </c>
      <c r="C73" s="6">
        <f>ROUND((B73*[1]ProjectileDataCSV!$F73*(2+[1]ProjectileDataCSV!$G73))+B73*(1-[1]ProjectileDataCSV!$F73),2)</f>
        <v>12.7</v>
      </c>
    </row>
    <row r="74" spans="1:3" x14ac:dyDescent="0.3">
      <c r="A74" s="2" t="str">
        <f>[1]ProjectileDataCSV!$B74</f>
        <v>Spear(T)</v>
      </c>
      <c r="B74" s="6">
        <f>ROUND([2]TowerDataCSV!$E74*[1]ProjectileDataCSV!$D74,2)</f>
        <v>12.35</v>
      </c>
      <c r="C74" s="6">
        <f>ROUND((B74*[1]ProjectileDataCSV!$F74*(2+[1]ProjectileDataCSV!$G74))+B74*(1-[1]ProjectileDataCSV!$F74),2)</f>
        <v>14.47</v>
      </c>
    </row>
    <row r="75" spans="1:3" x14ac:dyDescent="0.3">
      <c r="A75" s="2" t="str">
        <f>[1]ProjectileDataCSV!$B75</f>
        <v>Spear(TR)</v>
      </c>
      <c r="B75" s="6">
        <f>ROUND([2]TowerDataCSV!$E75*[1]ProjectileDataCSV!$D75,2)</f>
        <v>0</v>
      </c>
      <c r="C75" s="6">
        <f>ROUND((B75*[1]ProjectileDataCSV!$F75*(2+[1]ProjectileDataCSV!$G75))+B75*(1-[1]ProjectileDataCSV!$F75),2)</f>
        <v>0</v>
      </c>
    </row>
    <row r="76" spans="1:3" x14ac:dyDescent="0.3">
      <c r="A76" s="2" t="str">
        <f>[1]ProjectileDataCSV!$B76</f>
        <v>Spear(B)</v>
      </c>
      <c r="B76" s="6">
        <f>ROUND([2]TowerDataCSV!$E76*[1]ProjectileDataCSV!$D76,2)</f>
        <v>1.8</v>
      </c>
      <c r="C76" s="6">
        <f>ROUND((B76*[1]ProjectileDataCSV!$F76*(2+[1]ProjectileDataCSV!$G76))+B76*(1-[1]ProjectileDataCSV!$F76),2)</f>
        <v>1.8</v>
      </c>
    </row>
    <row r="77" spans="1:3" x14ac:dyDescent="0.3">
      <c r="A77" s="5" t="str">
        <f>[1]ProjectileDataCSV!$B77</f>
        <v>Spear(SP)</v>
      </c>
      <c r="B77" s="6">
        <f>ROUND([2]TowerDataCSV!$E77*[1]ProjectileDataCSV!$D77,2)</f>
        <v>87.9</v>
      </c>
      <c r="C77" s="6">
        <f>ROUND((B77*[1]ProjectileDataCSV!$F77*(2+[1]ProjectileDataCSV!$G77))+B77*(1-[1]ProjectileDataCSV!$F77),2)</f>
        <v>100.19</v>
      </c>
    </row>
    <row r="78" spans="1:3" x14ac:dyDescent="0.3">
      <c r="A78" s="5" t="str">
        <f>[1]ProjectileDataCSV!$B78</f>
        <v>Spear(T)</v>
      </c>
      <c r="B78" s="6">
        <f>ROUND([2]TowerDataCSV!$E78*[1]ProjectileDataCSV!$D78,2)</f>
        <v>101.85</v>
      </c>
      <c r="C78" s="6">
        <f>ROUND((B78*[1]ProjectileDataCSV!$F78*(2+[1]ProjectileDataCSV!$G78))+B78*(1-[1]ProjectileDataCSV!$F78),2)</f>
        <v>130.32</v>
      </c>
    </row>
    <row r="79" spans="1:3" x14ac:dyDescent="0.3">
      <c r="A79" s="5" t="str">
        <f>[1]ProjectileDataCSV!$B79</f>
        <v>Spear(TR)</v>
      </c>
      <c r="B79" s="6">
        <f>ROUND([2]TowerDataCSV!$E79*[1]ProjectileDataCSV!$D79,2)</f>
        <v>0</v>
      </c>
      <c r="C79" s="6">
        <f>ROUND((B79*[1]ProjectileDataCSV!$F79*(2+[1]ProjectileDataCSV!$G79))+B79*(1-[1]ProjectileDataCSV!$F79),2)</f>
        <v>0</v>
      </c>
    </row>
    <row r="80" spans="1:3" x14ac:dyDescent="0.3">
      <c r="A80" s="5" t="str">
        <f>[1]ProjectileDataCSV!$B80</f>
        <v>Spear(B)</v>
      </c>
      <c r="B80" s="6">
        <f>ROUND([2]TowerDataCSV!$E80*[1]ProjectileDataCSV!$D80,2)</f>
        <v>2.5</v>
      </c>
      <c r="C80" s="6">
        <f>ROUND((B80*[1]ProjectileDataCSV!$F80*(2+[1]ProjectileDataCSV!$G80))+B80*(1-[1]ProjectileDataCSV!$F80),2)</f>
        <v>2.5</v>
      </c>
    </row>
    <row r="81" spans="1:3" x14ac:dyDescent="0.3">
      <c r="A81" s="3" t="str">
        <f>[1]ProjectileDataCSV!$B81</f>
        <v>Spear(SP)</v>
      </c>
      <c r="B81" s="6">
        <f>ROUND([2]TowerDataCSV!$E81*[1]ProjectileDataCSV!$D81,2)</f>
        <v>1318.5</v>
      </c>
      <c r="C81" s="6">
        <f>ROUND((B81*[1]ProjectileDataCSV!$F81*(2+[1]ProjectileDataCSV!$G81))+B81*(1-[1]ProjectileDataCSV!$F81),2)</f>
        <v>1672.56</v>
      </c>
    </row>
    <row r="82" spans="1:3" x14ac:dyDescent="0.3">
      <c r="A82" s="3" t="str">
        <f>[1]ProjectileDataCSV!$B82</f>
        <v>Spear(T)</v>
      </c>
      <c r="B82" s="6">
        <f>ROUND([2]TowerDataCSV!$E82*[1]ProjectileDataCSV!$D82,2)</f>
        <v>2037</v>
      </c>
      <c r="C82" s="6">
        <f>ROUND((B82*[1]ProjectileDataCSV!$F82*(2+[1]ProjectileDataCSV!$G82))+B82*(1-[1]ProjectileDataCSV!$F82),2)</f>
        <v>3131</v>
      </c>
    </row>
    <row r="83" spans="1:3" x14ac:dyDescent="0.3">
      <c r="A83" s="3" t="str">
        <f>[1]ProjectileDataCSV!$B83</f>
        <v>Spear(TR)</v>
      </c>
      <c r="B83" s="6">
        <f>ROUND([2]TowerDataCSV!$E83*[1]ProjectileDataCSV!$D83,2)</f>
        <v>0</v>
      </c>
      <c r="C83" s="6">
        <f>ROUND((B83*[1]ProjectileDataCSV!$F83*(2+[1]ProjectileDataCSV!$G83))+B83*(1-[1]ProjectileDataCSV!$F83),2)</f>
        <v>0</v>
      </c>
    </row>
    <row r="84" spans="1:3" x14ac:dyDescent="0.3">
      <c r="A84" s="3" t="str">
        <f>[1]ProjectileDataCSV!$B84</f>
        <v>Spear(B)</v>
      </c>
      <c r="B84" s="6">
        <f>ROUND([2]TowerDataCSV!$E84*[1]ProjectileDataCSV!$D84,2)</f>
        <v>5</v>
      </c>
      <c r="C84" s="6">
        <f>ROUND((B84*[1]ProjectileDataCSV!$F84*(2+[1]ProjectileDataCSV!$G84))+B84*(1-[1]ProjectileDataCSV!$F84),2)</f>
        <v>5</v>
      </c>
    </row>
    <row r="86" spans="1:3" x14ac:dyDescent="0.3">
      <c r="A86" s="1" t="str">
        <f>[1]ProjectileDataCSV!$B86</f>
        <v>Axe(SP)</v>
      </c>
      <c r="B86" s="6">
        <f>ROUND([2]TowerDataCSV!$E86*[1]ProjectileDataCSV!$D86,2)</f>
        <v>0.32</v>
      </c>
      <c r="C86" s="6">
        <f>ROUND((B86*[1]ProjectileDataCSV!$F86*(2+[1]ProjectileDataCSV!$G86))+B86*(1-[1]ProjectileDataCSV!$F86),2)</f>
        <v>0.32</v>
      </c>
    </row>
    <row r="87" spans="1:3" x14ac:dyDescent="0.3">
      <c r="A87" s="1" t="str">
        <f>[1]ProjectileDataCSV!$B87</f>
        <v>Axe(T)</v>
      </c>
      <c r="B87" s="6">
        <f>ROUND([2]TowerDataCSV!$E87*[1]ProjectileDataCSV!$D87,2)</f>
        <v>0.55000000000000004</v>
      </c>
      <c r="C87" s="6">
        <f>ROUND((B87*[1]ProjectileDataCSV!$F87*(2+[1]ProjectileDataCSV!$G87))+B87*(1-[1]ProjectileDataCSV!$F87),2)</f>
        <v>0.56000000000000005</v>
      </c>
    </row>
    <row r="88" spans="1:3" x14ac:dyDescent="0.3">
      <c r="A88" s="1" t="str">
        <f>[1]ProjectileDataCSV!$B88</f>
        <v>Axe(TR)</v>
      </c>
      <c r="B88" s="6">
        <f>ROUND([2]TowerDataCSV!$E88*[1]ProjectileDataCSV!$D88,2)</f>
        <v>0.15</v>
      </c>
      <c r="C88" s="6">
        <f>ROUND((B88*[1]ProjectileDataCSV!$F88*(2+[1]ProjectileDataCSV!$G88))+B88*(1-[1]ProjectileDataCSV!$F88),2)</f>
        <v>0.15</v>
      </c>
    </row>
    <row r="89" spans="1:3" x14ac:dyDescent="0.3">
      <c r="A89" s="1" t="str">
        <f>[1]ProjectileDataCSV!$B89</f>
        <v>Axe(B)</v>
      </c>
      <c r="B89" s="6">
        <f>ROUND([2]TowerDataCSV!$E89*[1]ProjectileDataCSV!$D89,2)</f>
        <v>1.2</v>
      </c>
      <c r="C89" s="6">
        <f>ROUND((B89*[1]ProjectileDataCSV!$F89*(2+[1]ProjectileDataCSV!$G89))+B89*(1-[1]ProjectileDataCSV!$F89),2)</f>
        <v>1.2</v>
      </c>
    </row>
    <row r="90" spans="1:3" x14ac:dyDescent="0.3">
      <c r="A90" s="4" t="str">
        <f>[1]ProjectileDataCSV!$B90</f>
        <v>Axe(SP)</v>
      </c>
      <c r="B90" s="6">
        <f>ROUND([2]TowerDataCSV!$E90*[1]ProjectileDataCSV!$D90,2)</f>
        <v>1.38</v>
      </c>
      <c r="C90" s="6">
        <f>ROUND((B90*[1]ProjectileDataCSV!$F90*(2+[1]ProjectileDataCSV!$G90))+B90*(1-[1]ProjectileDataCSV!$F90),2)</f>
        <v>1.4</v>
      </c>
    </row>
    <row r="91" spans="1:3" x14ac:dyDescent="0.3">
      <c r="A91" s="4" t="str">
        <f>[1]ProjectileDataCSV!$B91</f>
        <v>Axe(T)</v>
      </c>
      <c r="B91" s="6">
        <f>ROUND([2]TowerDataCSV!$E91*[1]ProjectileDataCSV!$D91,2)</f>
        <v>2.4</v>
      </c>
      <c r="C91" s="6">
        <f>ROUND((B91*[1]ProjectileDataCSV!$F91*(2+[1]ProjectileDataCSV!$G91))+B91*(1-[1]ProjectileDataCSV!$F91),2)</f>
        <v>2.4500000000000002</v>
      </c>
    </row>
    <row r="92" spans="1:3" x14ac:dyDescent="0.3">
      <c r="A92" s="4" t="str">
        <f>[1]ProjectileDataCSV!$B92</f>
        <v>Axe(TR)</v>
      </c>
      <c r="B92" s="6">
        <f>ROUND([2]TowerDataCSV!$E92*[1]ProjectileDataCSV!$D92,2)</f>
        <v>0.66</v>
      </c>
      <c r="C92" s="6">
        <f>ROUND((B92*[1]ProjectileDataCSV!$F92*(2+[1]ProjectileDataCSV!$G92))+B92*(1-[1]ProjectileDataCSV!$F92),2)</f>
        <v>0.66</v>
      </c>
    </row>
    <row r="93" spans="1:3" x14ac:dyDescent="0.3">
      <c r="A93" s="4" t="str">
        <f>[1]ProjectileDataCSV!$B93</f>
        <v>Axe(B)</v>
      </c>
      <c r="B93" s="6">
        <f>ROUND([2]TowerDataCSV!$E93*[1]ProjectileDataCSV!$D93,2)</f>
        <v>1.4</v>
      </c>
      <c r="C93" s="6">
        <f>ROUND((B93*[1]ProjectileDataCSV!$F93*(2+[1]ProjectileDataCSV!$G93))+B93*(1-[1]ProjectileDataCSV!$F93),2)</f>
        <v>1.4</v>
      </c>
    </row>
    <row r="94" spans="1:3" x14ac:dyDescent="0.3">
      <c r="A94" s="2" t="str">
        <f>[1]ProjectileDataCSV!$B94</f>
        <v>Axe(SP)</v>
      </c>
      <c r="B94" s="6">
        <f>ROUND([2]TowerDataCSV!$E94*[1]ProjectileDataCSV!$D94,2)</f>
        <v>7.53</v>
      </c>
      <c r="C94" s="6">
        <f>ROUND((B94*[1]ProjectileDataCSV!$F94*(2+[1]ProjectileDataCSV!$G94))+B94*(1-[1]ProjectileDataCSV!$F94),2)</f>
        <v>7.75</v>
      </c>
    </row>
    <row r="95" spans="1:3" x14ac:dyDescent="0.3">
      <c r="A95" s="2" t="str">
        <f>[1]ProjectileDataCSV!$B95</f>
        <v>Axe(T)</v>
      </c>
      <c r="B95" s="6">
        <f>ROUND([2]TowerDataCSV!$E95*[1]ProjectileDataCSV!$D95,2)</f>
        <v>14.38</v>
      </c>
      <c r="C95" s="6">
        <f>ROUND((B95*[1]ProjectileDataCSV!$F95*(2+[1]ProjectileDataCSV!$G95))+B95*(1-[1]ProjectileDataCSV!$F95),2)</f>
        <v>14.89</v>
      </c>
    </row>
    <row r="96" spans="1:3" x14ac:dyDescent="0.3">
      <c r="A96" s="2" t="str">
        <f>[1]ProjectileDataCSV!$B96</f>
        <v>Axe(TR)</v>
      </c>
      <c r="B96" s="6">
        <f>ROUND([2]TowerDataCSV!$E96*[1]ProjectileDataCSV!$D96,2)</f>
        <v>3.6</v>
      </c>
      <c r="C96" s="6">
        <f>ROUND((B96*[1]ProjectileDataCSV!$F96*(2+[1]ProjectileDataCSV!$G96))+B96*(1-[1]ProjectileDataCSV!$F96),2)</f>
        <v>3.6</v>
      </c>
    </row>
    <row r="97" spans="1:3" x14ac:dyDescent="0.3">
      <c r="A97" s="2" t="str">
        <f>[1]ProjectileDataCSV!$B97</f>
        <v>Axe(B)</v>
      </c>
      <c r="B97" s="6">
        <f>ROUND([2]TowerDataCSV!$E97*[1]ProjectileDataCSV!$D97,2)</f>
        <v>1.8</v>
      </c>
      <c r="C97" s="6">
        <f>ROUND((B97*[1]ProjectileDataCSV!$F97*(2+[1]ProjectileDataCSV!$G97))+B97*(1-[1]ProjectileDataCSV!$F97),2)</f>
        <v>1.8</v>
      </c>
    </row>
    <row r="98" spans="1:3" x14ac:dyDescent="0.3">
      <c r="A98" s="5" t="str">
        <f>[1]ProjectileDataCSV!$B98</f>
        <v>Axe(SP)</v>
      </c>
      <c r="B98" s="6">
        <f>ROUND([2]TowerDataCSV!$E98*[1]ProjectileDataCSV!$D98,2)</f>
        <v>56.44</v>
      </c>
      <c r="C98" s="6">
        <f>ROUND((B98*[1]ProjectileDataCSV!$F98*(2+[1]ProjectileDataCSV!$G98))+B98*(1-[1]ProjectileDataCSV!$F98),2)</f>
        <v>60.8</v>
      </c>
    </row>
    <row r="99" spans="1:3" x14ac:dyDescent="0.3">
      <c r="A99" s="5" t="str">
        <f>[1]ProjectileDataCSV!$B99</f>
        <v>Axe(T)</v>
      </c>
      <c r="B99" s="6">
        <f>ROUND([2]TowerDataCSV!$E99*[1]ProjectileDataCSV!$D99,2)</f>
        <v>118.5</v>
      </c>
      <c r="C99" s="6">
        <f>ROUND((B99*[1]ProjectileDataCSV!$F99*(2+[1]ProjectileDataCSV!$G99))+B99*(1-[1]ProjectileDataCSV!$F99),2)</f>
        <v>129.49</v>
      </c>
    </row>
    <row r="100" spans="1:3" x14ac:dyDescent="0.3">
      <c r="A100" s="5" t="str">
        <f>[1]ProjectileDataCSV!$B100</f>
        <v>Axe(TR)</v>
      </c>
      <c r="B100" s="6">
        <f>ROUND([2]TowerDataCSV!$E100*[1]ProjectileDataCSV!$D100,2)</f>
        <v>27</v>
      </c>
      <c r="C100" s="6">
        <f>ROUND((B100*[1]ProjectileDataCSV!$F100*(2+[1]ProjectileDataCSV!$G100))+B100*(1-[1]ProjectileDataCSV!$F100),2)</f>
        <v>27</v>
      </c>
    </row>
    <row r="101" spans="1:3" x14ac:dyDescent="0.3">
      <c r="A101" s="5" t="str">
        <f>[1]ProjectileDataCSV!$B101</f>
        <v>Axe(B)</v>
      </c>
      <c r="B101" s="6">
        <f>ROUND([2]TowerDataCSV!$E101*[1]ProjectileDataCSV!$D101,2)</f>
        <v>2.5</v>
      </c>
      <c r="C101" s="6">
        <f>ROUND((B101*[1]ProjectileDataCSV!$F101*(2+[1]ProjectileDataCSV!$G101))+B101*(1-[1]ProjectileDataCSV!$F101),2)</f>
        <v>2.5</v>
      </c>
    </row>
    <row r="102" spans="1:3" x14ac:dyDescent="0.3">
      <c r="A102" s="3" t="str">
        <f>[1]ProjectileDataCSV!$B102</f>
        <v>Axe(SP)</v>
      </c>
      <c r="B102" s="6">
        <f>ROUND([2]TowerDataCSV!$E102*[1]ProjectileDataCSV!$D102,2)</f>
        <v>846.56</v>
      </c>
      <c r="C102" s="6">
        <f>ROUND((B102*[1]ProjectileDataCSV!$F102*(2+[1]ProjectileDataCSV!$G102))+B102*(1-[1]ProjectileDataCSV!$F102),2)</f>
        <v>1128.24</v>
      </c>
    </row>
    <row r="103" spans="1:3" x14ac:dyDescent="0.3">
      <c r="A103" s="3" t="str">
        <f>[1]ProjectileDataCSV!$B103</f>
        <v>Axe(T)</v>
      </c>
      <c r="B103" s="6">
        <f>ROUND([2]TowerDataCSV!$E103*[1]ProjectileDataCSV!$D103,2)</f>
        <v>2370</v>
      </c>
      <c r="C103" s="6">
        <f>ROUND((B103*[1]ProjectileDataCSV!$F103*(2+[1]ProjectileDataCSV!$G103))+B103*(1-[1]ProjectileDataCSV!$F103),2)</f>
        <v>3322.91</v>
      </c>
    </row>
    <row r="104" spans="1:3" x14ac:dyDescent="0.3">
      <c r="A104" s="3" t="str">
        <f>[1]ProjectileDataCSV!$B104</f>
        <v>Axe(TR)</v>
      </c>
      <c r="B104" s="6">
        <f>ROUND([2]TowerDataCSV!$E104*[1]ProjectileDataCSV!$D104,2)</f>
        <v>405</v>
      </c>
      <c r="C104" s="6">
        <f>ROUND((B104*[1]ProjectileDataCSV!$F104*(2+[1]ProjectileDataCSV!$G104))+B104*(1-[1]ProjectileDataCSV!$F104),2)</f>
        <v>405</v>
      </c>
    </row>
    <row r="105" spans="1:3" x14ac:dyDescent="0.3">
      <c r="A105" s="3" t="str">
        <f>[1]ProjectileDataCSV!$B105</f>
        <v>Axe(B)</v>
      </c>
      <c r="B105" s="6">
        <f>ROUND([2]TowerDataCSV!$E105*[1]ProjectileDataCSV!$D105,2)</f>
        <v>5</v>
      </c>
      <c r="C105" s="6">
        <f>ROUND((B105*[1]ProjectileDataCSV!$F105*(2+[1]ProjectileDataCSV!$G105))+B105*(1-[1]ProjectileDataCSV!$F105),2)</f>
        <v>5</v>
      </c>
    </row>
    <row r="107" spans="1:3" x14ac:dyDescent="0.3">
      <c r="A107" s="1">
        <f>[1]ProjectileDataCSV!$B107</f>
        <v>0</v>
      </c>
      <c r="B107" s="6">
        <f>[1]ProjectileDataCSV!$D107*[2]TowerDataCSV!$E107</f>
        <v>0</v>
      </c>
      <c r="C107" s="6">
        <f>(B107*([1]ProjectileDataCSV!$F107*0.01)*(2+([1]ProjectileDataCSV!$G107*0.01)))+(B107*(1-([1]ProjectileDataCSV!$F107)*0.01))</f>
        <v>0</v>
      </c>
    </row>
    <row r="108" spans="1:3" x14ac:dyDescent="0.3">
      <c r="A108" s="1">
        <f>[1]ProjectileDataCSV!$B108</f>
        <v>0</v>
      </c>
      <c r="B108" s="6">
        <f>[1]ProjectileDataCSV!$D108*[2]TowerDataCSV!$E108</f>
        <v>0</v>
      </c>
      <c r="C108" s="6">
        <f>(B108*([1]ProjectileDataCSV!$F108*0.01)*(2+([1]ProjectileDataCSV!$G108*0.01)))+(B108*(1-([1]ProjectileDataCSV!$F108)*0.01))</f>
        <v>0</v>
      </c>
    </row>
    <row r="109" spans="1:3" x14ac:dyDescent="0.3">
      <c r="A109" s="1">
        <f>[1]ProjectileDataCSV!$B109</f>
        <v>0</v>
      </c>
      <c r="B109" s="6">
        <f>[1]ProjectileDataCSV!$D109*[2]TowerDataCSV!$E109</f>
        <v>0</v>
      </c>
      <c r="C109" s="6">
        <f>(B109*([1]ProjectileDataCSV!$F109*0.01)*(2+([1]ProjectileDataCSV!$G109*0.01)))+(B109*(1-([1]ProjectileDataCSV!$F109)*0.01))</f>
        <v>0</v>
      </c>
    </row>
    <row r="110" spans="1:3" x14ac:dyDescent="0.3">
      <c r="A110" s="1">
        <f>[1]ProjectileDataCSV!$B110</f>
        <v>0</v>
      </c>
      <c r="B110" s="6">
        <f>[1]ProjectileDataCSV!$D110*[2]TowerDataCSV!$E110</f>
        <v>0</v>
      </c>
      <c r="C110" s="6">
        <f>(B110*([1]ProjectileDataCSV!$F110*0.01)*(2+([1]ProjectileDataCSV!$G110*0.01)))+(B110*(1-([1]ProjectileDataCSV!$F110)*0.01))</f>
        <v>0</v>
      </c>
    </row>
    <row r="111" spans="1:3" x14ac:dyDescent="0.3">
      <c r="A111" s="4">
        <f>[1]ProjectileDataCSV!$B111</f>
        <v>0</v>
      </c>
      <c r="B111" s="6">
        <f>[1]ProjectileDataCSV!$D111*[2]TowerDataCSV!$E111</f>
        <v>0</v>
      </c>
      <c r="C111" s="6">
        <f>(B111*([1]ProjectileDataCSV!$F111*0.01)*(2+([1]ProjectileDataCSV!$G111*0.01)))+(B111*(1-([1]ProjectileDataCSV!$F111)*0.01))</f>
        <v>0</v>
      </c>
    </row>
    <row r="112" spans="1:3" x14ac:dyDescent="0.3">
      <c r="A112" s="4">
        <f>[1]ProjectileDataCSV!$B112</f>
        <v>0</v>
      </c>
      <c r="B112" s="6">
        <f>[1]ProjectileDataCSV!$D112*[2]TowerDataCSV!$E112</f>
        <v>0</v>
      </c>
      <c r="C112" s="6">
        <f>(B112*([1]ProjectileDataCSV!$F112*0.01)*(2+([1]ProjectileDataCSV!$G112*0.01)))+(B112*(1-([1]ProjectileDataCSV!$F112)*0.01))</f>
        <v>0</v>
      </c>
    </row>
    <row r="113" spans="1:3" x14ac:dyDescent="0.3">
      <c r="A113" s="4">
        <f>[1]ProjectileDataCSV!$B113</f>
        <v>0</v>
      </c>
      <c r="B113" s="6">
        <f>[1]ProjectileDataCSV!$D113*[2]TowerDataCSV!$E113</f>
        <v>0</v>
      </c>
      <c r="C113" s="6">
        <f>(B113*([1]ProjectileDataCSV!$F113*0.01)*(2+([1]ProjectileDataCSV!$G113*0.01)))+(B113*(1-([1]ProjectileDataCSV!$F113)*0.01))</f>
        <v>0</v>
      </c>
    </row>
    <row r="114" spans="1:3" x14ac:dyDescent="0.3">
      <c r="A114" s="4">
        <f>[1]ProjectileDataCSV!$B114</f>
        <v>0</v>
      </c>
      <c r="B114" s="6">
        <f>[1]ProjectileDataCSV!$D114*[2]TowerDataCSV!$E114</f>
        <v>0</v>
      </c>
      <c r="C114" s="6">
        <f>(B114*([1]ProjectileDataCSV!$F114*0.01)*(2+([1]ProjectileDataCSV!$G114*0.01)))+(B114*(1-([1]ProjectileDataCSV!$F114)*0.01))</f>
        <v>0</v>
      </c>
    </row>
    <row r="115" spans="1:3" x14ac:dyDescent="0.3">
      <c r="A115" s="2">
        <f>[1]ProjectileDataCSV!$B115</f>
        <v>0</v>
      </c>
      <c r="B115" s="6">
        <f>[1]ProjectileDataCSV!$D115*[2]TowerDataCSV!$E115</f>
        <v>0</v>
      </c>
      <c r="C115" s="6">
        <f>(B115*([1]ProjectileDataCSV!$F115*0.01)*(2+([1]ProjectileDataCSV!$G115*0.01)))+(B115*(1-([1]ProjectileDataCSV!$F115)*0.01))</f>
        <v>0</v>
      </c>
    </row>
    <row r="116" spans="1:3" x14ac:dyDescent="0.3">
      <c r="A116" s="2">
        <f>[1]ProjectileDataCSV!$B116</f>
        <v>0</v>
      </c>
      <c r="B116" s="6">
        <f>[1]ProjectileDataCSV!$D116*[2]TowerDataCSV!$E116</f>
        <v>0</v>
      </c>
      <c r="C116" s="6">
        <f>(B116*([1]ProjectileDataCSV!$F116*0.01)*(2+([1]ProjectileDataCSV!$G116*0.01)))+(B116*(1-([1]ProjectileDataCSV!$F116)*0.01))</f>
        <v>0</v>
      </c>
    </row>
    <row r="117" spans="1:3" x14ac:dyDescent="0.3">
      <c r="A117" s="2">
        <f>[1]ProjectileDataCSV!$B117</f>
        <v>0</v>
      </c>
      <c r="B117" s="6">
        <f>[1]ProjectileDataCSV!$D117*[2]TowerDataCSV!$E117</f>
        <v>0</v>
      </c>
      <c r="C117" s="6">
        <f>(B117*([1]ProjectileDataCSV!$F117*0.01)*(2+([1]ProjectileDataCSV!$G117*0.01)))+(B117*(1-([1]ProjectileDataCSV!$F117)*0.01))</f>
        <v>0</v>
      </c>
    </row>
    <row r="118" spans="1:3" x14ac:dyDescent="0.3">
      <c r="A118" s="2">
        <f>[1]ProjectileDataCSV!$B118</f>
        <v>0</v>
      </c>
      <c r="B118" s="6">
        <f>[1]ProjectileDataCSV!$D118*[2]TowerDataCSV!$E118</f>
        <v>0</v>
      </c>
      <c r="C118" s="6">
        <f>(B118*([1]ProjectileDataCSV!$F118*0.01)*(2+([1]ProjectileDataCSV!$G118*0.01)))+(B118*(1-([1]ProjectileDataCSV!$F118)*0.01))</f>
        <v>0</v>
      </c>
    </row>
    <row r="119" spans="1:3" x14ac:dyDescent="0.3">
      <c r="A119" s="5">
        <f>[1]ProjectileDataCSV!$B119</f>
        <v>0</v>
      </c>
      <c r="B119" s="6">
        <f>[1]ProjectileDataCSV!$D119*[2]TowerDataCSV!$E119</f>
        <v>0</v>
      </c>
      <c r="C119" s="6">
        <f>(B119*([1]ProjectileDataCSV!$F119*0.01)*(2+([1]ProjectileDataCSV!$G119*0.01)))+(B119*(1-([1]ProjectileDataCSV!$F119)*0.01))</f>
        <v>0</v>
      </c>
    </row>
    <row r="120" spans="1:3" x14ac:dyDescent="0.3">
      <c r="A120" s="5">
        <f>[1]ProjectileDataCSV!$B120</f>
        <v>0</v>
      </c>
      <c r="B120" s="6">
        <f>[1]ProjectileDataCSV!$D120*[2]TowerDataCSV!$E120</f>
        <v>0</v>
      </c>
      <c r="C120" s="6">
        <f>(B120*([1]ProjectileDataCSV!$F120*0.01)*(2+([1]ProjectileDataCSV!$G120*0.01)))+(B120*(1-([1]ProjectileDataCSV!$F120)*0.01))</f>
        <v>0</v>
      </c>
    </row>
    <row r="121" spans="1:3" x14ac:dyDescent="0.3">
      <c r="A121" s="5">
        <f>[1]ProjectileDataCSV!$B121</f>
        <v>0</v>
      </c>
      <c r="B121" s="6">
        <f>[1]ProjectileDataCSV!$D121*[2]TowerDataCSV!$E121</f>
        <v>0</v>
      </c>
      <c r="C121" s="6">
        <f>(B121*([1]ProjectileDataCSV!$F121*0.01)*(2+([1]ProjectileDataCSV!$G121*0.01)))+(B121*(1-([1]ProjectileDataCSV!$F121)*0.01))</f>
        <v>0</v>
      </c>
    </row>
    <row r="122" spans="1:3" x14ac:dyDescent="0.3">
      <c r="A122" s="5">
        <f>[1]ProjectileDataCSV!$B122</f>
        <v>0</v>
      </c>
      <c r="B122" s="6">
        <f>[1]ProjectileDataCSV!$D122*[2]TowerDataCSV!$E122</f>
        <v>0</v>
      </c>
      <c r="C122" s="6">
        <f>(B122*([1]ProjectileDataCSV!$F122*0.01)*(2+([1]ProjectileDataCSV!$G122*0.01)))+(B122*(1-([1]ProjectileDataCSV!$F122)*0.01))</f>
        <v>0</v>
      </c>
    </row>
    <row r="123" spans="1:3" x14ac:dyDescent="0.3">
      <c r="A123" s="3">
        <f>[1]ProjectileDataCSV!$B123</f>
        <v>0</v>
      </c>
      <c r="B123" s="6">
        <f>[1]ProjectileDataCSV!$D123*[2]TowerDataCSV!$E123</f>
        <v>0</v>
      </c>
      <c r="C123" s="6">
        <f>(B123*([1]ProjectileDataCSV!$F123*0.01)*(2+([1]ProjectileDataCSV!$G123*0.01)))+(B123*(1-([1]ProjectileDataCSV!$F123)*0.01))</f>
        <v>0</v>
      </c>
    </row>
    <row r="124" spans="1:3" x14ac:dyDescent="0.3">
      <c r="A124" s="3">
        <f>[1]ProjectileDataCSV!$B124</f>
        <v>0</v>
      </c>
      <c r="B124" s="6">
        <f>[1]ProjectileDataCSV!$D124*[2]TowerDataCSV!$E124</f>
        <v>0</v>
      </c>
      <c r="C124" s="6">
        <f>(B124*([1]ProjectileDataCSV!$F124*0.01)*(2+([1]ProjectileDataCSV!$G124*0.01)))+(B124*(1-([1]ProjectileDataCSV!$F124)*0.01))</f>
        <v>0</v>
      </c>
    </row>
    <row r="125" spans="1:3" x14ac:dyDescent="0.3">
      <c r="A125" s="3">
        <f>[1]ProjectileDataCSV!$B125</f>
        <v>0</v>
      </c>
      <c r="B125" s="6">
        <f>[1]ProjectileDataCSV!$D125*[2]TowerDataCSV!$E125</f>
        <v>0</v>
      </c>
      <c r="C125" s="6">
        <f>(B125*([1]ProjectileDataCSV!$F125*0.01)*(2+([1]ProjectileDataCSV!$G125*0.01)))+(B125*(1-([1]ProjectileDataCSV!$F125)*0.01))</f>
        <v>0</v>
      </c>
    </row>
    <row r="126" spans="1:3" x14ac:dyDescent="0.3">
      <c r="A126" s="3">
        <f>[1]ProjectileDataCSV!$B126</f>
        <v>0</v>
      </c>
      <c r="B126" s="6">
        <f>[1]ProjectileDataCSV!$D126*[2]TowerDataCSV!$E126</f>
        <v>0</v>
      </c>
      <c r="C126" s="6">
        <f>(B126*([1]ProjectileDataCSV!$F126*0.01)*(2+([1]ProjectileDataCSV!$G126*0.01)))+(B126*(1-([1]ProjectileDataCSV!$F126)*0.01))</f>
        <v>0</v>
      </c>
    </row>
  </sheetData>
  <mergeCells count="4">
    <mergeCell ref="D1:E1"/>
    <mergeCell ref="J1:K1"/>
    <mergeCell ref="H1:I1"/>
    <mergeCell ref="F1:G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2026-06-29T07:38:58Z</dcterms:created>
  <dcterms:modified xsi:type="dcterms:W3CDTF">2026-06-30T01:58:31Z</dcterms:modified>
</cp:coreProperties>
</file>