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프로그래밍\Project-A-SquareTowerDefense-\Assets\Resources\"/>
    </mc:Choice>
  </mc:AlternateContent>
  <x:bookViews>
    <x:workbookView xWindow="0" yWindow="0" windowWidth="4294939935" windowHeight="16740"/>
  </x:bookViews>
  <x:sheets>
    <x:sheet name="TowerDataCSV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<x:sst xmlns:r="http://schemas.openxmlformats.org/officeDocument/2006/relationships" xmlns:c="http://schemas.openxmlformats.org/drawingml/2006/chart" xmlns:x="http://schemas.openxmlformats.org/spreadsheetml/2006/main" count="918" uniqueCount="74">
  <x:si>
    <x:t>(버프) 검 타워</x:t>
  </x:si>
  <x:si>
    <x:t>(함정) 검 타워</x:t>
  </x:si>
  <x:si>
    <x:t>buffTarget</x:t>
  </x:si>
  <x:si>
    <x:t>HitEffectID</x:t>
  </x:si>
  <x:si>
    <x:t>targetLayer</x:t>
  </x:si>
  <x:si>
    <x:t>attackType</x:t>
  </x:si>
  <x:si>
    <x:t>(광역) 바람 타워</x:t>
  </x:si>
  <x:si>
    <x:t>(함정) 불 타워</x:t>
  </x:si>
  <x:si>
    <x:t>(버프) 바람 타워</x:t>
  </x:si>
  <x:si>
    <x:t>(버프) 전기 타워</x:t>
  </x:si>
  <x:si>
    <x:t>(광역) 얼음 타워</x:t>
  </x:si>
  <x:si>
    <x:t>(단일) 전기 타워</x:t>
  </x:si>
  <x:si>
    <x:t>(광역) 전기 타워</x:t>
  </x:si>
  <x:si>
    <x:t>towerLevel</x:t>
  </x:si>
  <x:si>
    <x:t>(함정) 얼음 타워</x:t>
  </x:si>
  <x:si>
    <x:t>(함정) 바람 타워</x:t>
  </x:si>
  <x:si>
    <x:t>AttackSpeed</x:t>
  </x:si>
  <x:si>
    <x:t>DotDamage</x:t>
  </x:si>
  <x:si>
    <x:t>(버프) 불 타워</x:t>
  </x:si>
  <x:si>
    <x:t>duration</x:t>
  </x:si>
  <x:si>
    <x:t>(함정) 도끼 타워</x:t>
  </x:si>
  <x:si>
    <x:t>(버프) 얼음 타워</x:t>
  </x:si>
  <x:si>
    <x:t>attackRange</x:t>
  </x:si>
  <x:si>
    <x:t>(단일) 바람 타워</x:t>
  </x:si>
  <x:si>
    <x:t>attackSpeed</x:t>
  </x:si>
  <x:si>
    <x:t>Damage</x:t>
  </x:si>
  <x:si>
    <x:t>Target</x:t>
  </x:si>
  <x:si>
    <x:t>Range</x:t>
  </x:si>
  <x:si>
    <x:t>Enemy</x:t>
  </x:si>
  <x:si>
    <x:t>Splash</x:t>
  </x:si>
  <x:si>
    <x:t>Stun</x:t>
  </x:si>
  <x:si>
    <x:t>Weak</x:t>
  </x:si>
  <x:si>
    <x:t>Buff</x:t>
  </x:si>
  <x:si>
    <x:t>Tower</x:t>
  </x:si>
  <x:si>
    <x:t>Speed</x:t>
  </x:si>
  <x:si>
    <x:t>None</x:t>
  </x:si>
  <x:si>
    <x:t>Name</x:t>
  </x:si>
  <x:si>
    <x:t>Chain</x:t>
  </x:si>
  <x:si>
    <x:t>Defense</x:t>
  </x:si>
  <x:si>
    <x:t>Slow</x:t>
  </x:si>
  <x:si>
    <x:t>Debuff</x:t>
  </x:si>
  <x:si>
    <x:t>Push</x:t>
  </x:si>
  <x:si>
    <x:t>Trap</x:t>
  </x:si>
  <x:si>
    <x:t>(함정) 활 타워</x:t>
  </x:si>
  <x:si>
    <x:t>(광역) 방패 타워</x:t>
  </x:si>
  <x:si>
    <x:t>(광역) 창 타워</x:t>
  </x:si>
  <x:si>
    <x:t>IsCritical</x:t>
  </x:si>
  <x:si>
    <x:t>(단일) 도끼 타워</x:t>
  </x:si>
  <x:si>
    <x:t>(함정) 창 타워</x:t>
  </x:si>
  <x:si>
    <x:t>(단일) 검 타워</x:t>
  </x:si>
  <x:si>
    <x:t>(광역) 도끼 타워</x:t>
  </x:si>
  <x:si>
    <x:t>(광역) 활 타워</x:t>
  </x:si>
  <x:si>
    <x:t>(광역) 검 타워</x:t>
  </x:si>
  <x:si>
    <x:t>(함정) 전기 타워</x:t>
  </x:si>
  <x:si>
    <x:t>(단일) 활 타워</x:t>
  </x:si>
  <x:si>
    <x:t>ID</x:t>
  </x:si>
  <x:si>
    <x:t>(버프) 방패 타워</x:t>
  </x:si>
  <x:si>
    <x:t>(광역) 불 타워</x:t>
  </x:si>
  <x:si>
    <x:t>(단일) 창 타워</x:t>
  </x:si>
  <x:si>
    <x:t>(단일) 얼음 타워</x:t>
  </x:si>
  <x:si>
    <x:t>(버프) 활 타워</x:t>
  </x:si>
  <x:si>
    <x:t>(함정) 방패 타워</x:t>
  </x:si>
  <x:si>
    <x:t>(버프) 창 타워</x:t>
  </x:si>
  <x:si>
    <x:t>(버프) 도끼 타워</x:t>
  </x:si>
  <x:si>
    <x:t>(단일) 불 타워</x:t>
  </x:si>
  <x:si>
    <x:t>(단일) 방패 타워</x:t>
  </x:si>
  <x:si>
    <x:t>attackDamage</x:t>
  </x:si>
  <x:si>
    <x:t>SplashRadius</x:t>
  </x:si>
  <x:si>
    <x:t>criticalRate</x:t>
  </x:si>
  <x:si>
    <x:t>CriticalRate</x:t>
  </x:si>
  <x:si>
    <x:t>CriticalDamage</x:t>
  </x:si>
  <x:si>
    <x:t>criticalDamage</x:t>
  </x:si>
  <x:si>
    <x:t>abilityValue</x:t>
  </x:si>
  <x:si>
    <x:t>debuffTarget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</x:si>
</x:sst>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8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6" fillId="0" borderId="0" xfId="0" applyFo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81"/>
  <x:sheetViews>
    <x:sheetView tabSelected="1" topLeftCell="A1" zoomScaleNormal="100" zoomScaleSheetLayoutView="100" workbookViewId="0">
      <x:pane xSplit="0" ySplit="1" topLeftCell="A2" activePane="bottomLeft" state="frozen"/>
      <x:selection pane="bottomLeft" activeCell="X12" activeCellId="0" sqref="X12:X12"/>
    </x:sheetView>
  </x:sheetViews>
  <x:sheetFormatPr defaultColWidth="9.00390625" defaultRowHeight="16.39999999999999857891"/>
  <x:cols>
    <x:col min="1" max="1" width="4.5" style="1" bestFit="1" customWidth="1"/>
    <x:col min="2" max="2" width="9.75" style="1" bestFit="1" customWidth="1"/>
    <x:col min="3" max="3" width="8.25" style="1" bestFit="1" customWidth="1"/>
    <x:col min="4" max="4" width="10.875" style="1" bestFit="1" customWidth="1"/>
    <x:col min="5" max="6" width="9.375" style="1" bestFit="1" customWidth="1"/>
    <x:col min="7" max="7" width="6.875" style="1" bestFit="1" customWidth="1"/>
    <x:col min="8" max="8" width="8.5" style="1" bestFit="1" customWidth="1"/>
    <x:col min="9" max="9" width="11.125" style="1" bestFit="1" customWidth="1"/>
    <x:col min="10" max="10" width="6.875" style="1" bestFit="1" customWidth="1"/>
    <x:col min="11" max="11" width="8.875" style="1" bestFit="1" customWidth="1"/>
    <x:col min="12" max="12" width="8.375" style="1" bestFit="1" customWidth="1"/>
    <x:col min="13" max="13" width="8.625" style="1" bestFit="1" customWidth="1"/>
    <x:col min="14" max="14" width="11.375" style="1" bestFit="1" customWidth="1"/>
    <x:col min="15" max="15" width="9.625" style="1" bestFit="1" customWidth="1"/>
    <x:col min="16" max="16" width="5.5" style="1" bestFit="1" customWidth="1"/>
    <x:col min="17" max="17" width="9.875" style="1" bestFit="1" customWidth="1"/>
    <x:col min="18" max="18" width="8.125" style="1" bestFit="1" customWidth="1"/>
    <x:col min="25" max="16376" width="9" style="2"/>
    <x:col min="16377" max="16384" width="9.00390625" style="2"/>
  </x:cols>
  <x:sheetData>
    <x:row r="1" spans="1:18" ht="24.94999999999999928946" customHeight="1">
      <x:c r="A1" s="1" t="s">
        <x:v>55</x:v>
      </x:c>
      <x:c r="B1" s="1" t="s">
        <x:v>36</x:v>
      </x:c>
      <x:c r="C1" s="1" t="s">
        <x:v>13</x:v>
      </x:c>
      <x:c r="D1" s="1" t="s">
        <x:v>66</x:v>
      </x:c>
      <x:c r="E1" s="1" t="s">
        <x:v>22</x:v>
      </x:c>
      <x:c r="F1" s="1" t="s">
        <x:v>24</x:v>
      </x:c>
      <x:c r="G1" s="1" t="s">
        <x:v>46</x:v>
      </x:c>
      <x:c r="H1" s="1" t="s">
        <x:v>68</x:v>
      </x:c>
      <x:c r="I1" s="1" t="s">
        <x:v>71</x:v>
      </x:c>
      <x:c r="J1" s="1" t="s">
        <x:v>19</x:v>
      </x:c>
      <x:c r="K1" s="1" t="s">
        <x:v>72</x:v>
      </x:c>
      <x:c r="L1" s="1" t="s">
        <x:v>5</x:v>
      </x:c>
      <x:c r="M1" s="1" t="s">
        <x:v>4</x:v>
      </x:c>
      <x:c r="N1" s="1" t="s">
        <x:v>2</x:v>
      </x:c>
      <x:c r="O1" s="1" t="s">
        <x:v>73</x:v>
      </x:c>
      <x:c r="P1" s="1" t="s">
        <x:v>34</x:v>
      </x:c>
      <x:c r="Q1" s="1" t="s">
        <x:v>67</x:v>
      </x:c>
      <x:c r="R1" s="1" t="s">
        <x:v>3</x:v>
      </x:c>
    </x:row>
    <x:row r="2" spans="1:18">
      <x:c r="A2" s="1">
        <x:v>1101</x:v>
      </x:c>
      <x:c r="B2" s="1" t="s">
        <x:v>52</x:v>
      </x:c>
      <x:c r="C2" s="1">
        <x:v>1</x:v>
      </x:c>
      <x:c r="D2" s="1">
        <x:v>2.5</x:v>
      </x:c>
      <x:c r="E2" s="1">
        <x:v>2.1000000000000001</x:v>
      </x:c>
      <x:c r="F2" s="1">
        <x:v>0.23000000000000001</x:v>
      </x:c>
      <x:c r="G2" s="1" t="b">
        <x:v>0</x:v>
      </x:c>
      <x:c r="H2" s="1">
        <x:v>0.040000000000000002</x:v>
      </x:c>
      <x:c r="I2" s="1">
        <x:v>0.080000000000000004</x:v>
      </x:c>
      <x:c r="J2" s="1">
        <x:v>0.5</x:v>
      </x:c>
      <x:c r="K2" s="1">
        <x:v>8.6957000000000004</x:v>
      </x:c>
      <x:c r="L2" s="1" t="s">
        <x:v>29</x:v>
      </x:c>
      <x:c r="M2" s="1" t="str">
        <x:f t="shared" ref="M2:M4" si="0">IF(L2="Buff","Tower","Enemy")</x:f>
        <x:v>Enemy</x:v>
      </x:c>
      <x:c r="N2" s="1" t="s">
        <x:v>35</x:v>
      </x:c>
      <x:c r="O2" s="1" t="s">
        <x:v>35</x:v>
      </x:c>
      <x:c r="P2" s="1">
        <x:v>10</x:v>
      </x:c>
      <x:c r="Q2" s="1">
        <x:v>2</x:v>
      </x:c>
      <x:c r="R2" s="1">
        <x:f>A2-1000</x:f>
        <x:v>101</x:v>
      </x:c>
    </x:row>
    <x:row r="3" spans="1:18">
      <x:c r="A3" s="1">
        <x:f>A2+100</x:f>
        <x:v>1201</x:v>
      </x:c>
      <x:c r="B3" s="1" t="s">
        <x:v>49</x:v>
      </x:c>
      <x:c r="C3" s="1">
        <x:v>1</x:v>
      </x:c>
      <x:c r="D3" s="1">
        <x:v>1.8700000000000001</x:v>
      </x:c>
      <x:c r="E3" s="1">
        <x:v>2.1000000000000001</x:v>
      </x:c>
      <x:c r="F3" s="1">
        <x:v>0.375</x:v>
      </x:c>
      <x:c r="G3" s="1" t="b">
        <x:v>0</x:v>
      </x:c>
      <x:c r="H3" s="1">
        <x:v>0.075</x:v>
      </x:c>
      <x:c r="I3" s="1">
        <x:v>0.040000000000000002</x:v>
      </x:c>
      <x:c r="J3" s="1">
        <x:v>0</x:v>
      </x:c>
      <x:c r="K3" s="1">
        <x:v>0</x:v>
      </x:c>
      <x:c r="L3" s="1" t="s">
        <x:v>26</x:v>
      </x:c>
      <x:c r="M3" s="1" t="str">
        <x:f t="shared" si="0"/>
        <x:v>Enemy</x:v>
      </x:c>
      <x:c r="N3" s="1" t="s">
        <x:v>35</x:v>
      </x:c>
      <x:c r="O3" s="1" t="s">
        <x:v>35</x:v>
      </x:c>
      <x:c r="P3" s="1">
        <x:v>15</x:v>
      </x:c>
      <x:c r="Q3" s="1">
        <x:v>0</x:v>
      </x:c>
      <x:c r="R3" s="1">
        <x:f t="shared" ref="R3:R181" si="1">A3-1000</x:f>
        <x:v>201</x:v>
      </x:c>
    </x:row>
    <x:row r="4" spans="1:18">
      <x:c r="A4" s="1">
        <x:f>A2+200</x:f>
        <x:v>1301</x:v>
      </x:c>
      <x:c r="B4" s="1" t="s">
        <x:v>1</x:v>
      </x:c>
      <x:c r="C4" s="1">
        <x:v>1</x:v>
      </x:c>
      <x:c r="D4" s="1">
        <x:v>15</x:v>
      </x:c>
      <x:c r="E4" s="1">
        <x:v>2.1000000000000001</x:v>
      </x:c>
      <x:c r="F4" s="1">
        <x:v>0.010000000000000001</x:v>
      </x:c>
      <x:c r="G4" s="1" t="b">
        <x:v>0</x:v>
      </x:c>
      <x:c r="H4" s="1">
        <x:v>0</x:v>
      </x:c>
      <x:c r="I4" s="1">
        <x:v>0</x:v>
      </x:c>
      <x:c r="J4" s="1">
        <x:v>30</x:v>
      </x:c>
      <x:c r="K4" s="1">
        <x:v>0</x:v>
      </x:c>
      <x:c r="L4" s="1" t="s">
        <x:v>42</x:v>
      </x:c>
      <x:c r="M4" s="1" t="str">
        <x:f t="shared" si="0"/>
        <x:v>Enemy</x:v>
      </x:c>
      <x:c r="N4" s="1" t="s">
        <x:v>35</x:v>
      </x:c>
      <x:c r="O4" s="1" t="s">
        <x:v>35</x:v>
      </x:c>
      <x:c r="P4" s="1">
        <x:v>1</x:v>
      </x:c>
      <x:c r="Q4" s="1">
        <x:v>1.5</x:v>
      </x:c>
      <x:c r="R4" s="1">
        <x:f t="shared" si="1"/>
        <x:v>301</x:v>
      </x:c>
    </x:row>
    <x:row r="5" spans="1:18">
      <x:c r="A5" s="1">
        <x:f>A2+300</x:f>
        <x:v>1401</x:v>
      </x:c>
      <x:c r="B5" s="1" t="s">
        <x:v>0</x:v>
      </x:c>
      <x:c r="C5" s="1">
        <x:v>1</x:v>
      </x:c>
      <x:c r="D5" s="1">
        <x:v>0</x:v>
      </x:c>
      <x:c r="E5" s="1">
        <x:v>1</x:v>
      </x:c>
      <x:c r="F5" s="1">
        <x:v>1</x:v>
      </x:c>
      <x:c r="G5" s="1" t="b">
        <x:v>0</x:v>
      </x:c>
      <x:c r="H5" s="1">
        <x:v>0</x:v>
      </x:c>
      <x:c r="I5" s="1">
        <x:v>0</x:v>
      </x:c>
      <x:c r="J5" s="1">
        <x:v>1</x:v>
      </x:c>
      <x:c r="K5" s="1">
        <x:f>IF(L5="Buff",1.2,8.6957)</x:f>
        <x:v>1.2</x:v>
      </x:c>
      <x:c r="L5" s="1" t="s">
        <x:v>32</x:v>
      </x:c>
      <x:c r="M5" s="1" t="str">
        <x:f>IF(L5="Buff","Tower","Enemy")</x:f>
        <x:v>Tower</x:v>
      </x:c>
      <x:c r="N5" s="1" t="s">
        <x:v>25</x:v>
      </x:c>
      <x:c r="O5" s="1" t="s">
        <x:v>35</x:v>
      </x:c>
      <x:c r="P5" s="1">
        <x:v>1</x:v>
      </x:c>
      <x:c r="Q5" s="1">
        <x:v>0</x:v>
      </x:c>
      <x:c r="R5" s="1">
        <x:f t="shared" si="1"/>
        <x:v>401</x:v>
      </x:c>
    </x:row>
    <x:row r="6" spans="1:18">
      <x:c r="A6" s="1">
        <x:f>A2+1000</x:f>
        <x:v>2101</x:v>
      </x:c>
      <x:c r="B6" s="1" t="str">
        <x:f>B2</x:f>
        <x:v>(광역) 검 타워</x:v>
      </x:c>
      <x:c r="C6" s="1">
        <x:v>1</x:v>
      </x:c>
      <x:c r="D6" s="1">
        <x:f>ROUND(D2*1.8,2)</x:f>
        <x:v>4.5</x:v>
      </x:c>
      <x:c r="E6" s="1">
        <x:f>ROUND(E2,2)</x:f>
        <x:v>2.1000000000000001</x:v>
      </x:c>
      <x:c r="F6" s="1">
        <x:f>ROUND(F2*2.1,2)</x:f>
        <x:v>0.47999999999999998</x:v>
      </x:c>
      <x:c r="G6" s="1" t="b">
        <x:v>0</x:v>
      </x:c>
      <x:c r="H6" s="1">
        <x:f>IF(H2*1.2&lt;=1,H2*1.2,1)</x:f>
        <x:v>0.047999999999999998</x:v>
      </x:c>
      <x:c r="I6" s="1">
        <x:f>ROUND(I2*1.2,2)</x:f>
        <x:v>0.10000000000000001</x:v>
      </x:c>
      <x:c r="J6" s="1">
        <x:f>ROUND(J2*1.5,2)</x:f>
        <x:v>0.75</x:v>
      </x:c>
      <x:c r="K6" s="1">
        <x:v>25</x:v>
      </x:c>
      <x:c r="L6" s="1" t="str">
        <x:f>L2</x:f>
        <x:v>Splash</x:v>
      </x:c>
      <x:c r="M6" s="1" t="str">
        <x:f t="shared" ref="M6:M21" si="2">IF(L6="Buff","Tower","Enemy")</x:f>
        <x:v>Enemy</x:v>
      </x:c>
      <x:c r="N6" s="1" t="s">
        <x:v>35</x:v>
      </x:c>
      <x:c r="O6" s="1" t="s">
        <x:v>35</x:v>
      </x:c>
      <x:c r="P6" s="1">
        <x:v>10</x:v>
      </x:c>
      <x:c r="Q6" s="1">
        <x:f>Q2</x:f>
        <x:v>2</x:v>
      </x:c>
      <x:c r="R6" s="1">
        <x:f t="shared" si="1"/>
        <x:v>1101</x:v>
      </x:c>
    </x:row>
    <x:row r="7" spans="1:18">
      <x:c r="A7" s="1">
        <x:f>A3+1000</x:f>
        <x:v>2201</x:v>
      </x:c>
      <x:c r="B7" s="1" t="str">
        <x:f>B3</x:f>
        <x:v>(단일) 검 타워</x:v>
      </x:c>
      <x:c r="C7" s="1">
        <x:v>1</x:v>
      </x:c>
      <x:c r="D7" s="1">
        <x:f>ROUND(D3*1.7,2)</x:f>
        <x:v>3.1800000000000002</x:v>
      </x:c>
      <x:c r="E7" s="1">
        <x:f>ROUND(E3,2)</x:f>
        <x:v>2.1000000000000001</x:v>
      </x:c>
      <x:c r="F7" s="1">
        <x:f>ROUND(F3*2.2,2)</x:f>
        <x:v>0.82999999999999996</x:v>
      </x:c>
      <x:c r="G7" s="1" t="b">
        <x:v>0</x:v>
      </x:c>
      <x:c r="H7" s="1">
        <x:f>IF(H3*1.2&lt;=1,H3*1.2,1)</x:f>
        <x:v>0.089999999999999991</x:v>
      </x:c>
      <x:c r="I7" s="1">
        <x:f>ROUND(I3*1.2,2)</x:f>
        <x:v>0.05</x:v>
      </x:c>
      <x:c r="J7" s="1">
        <x:f t="shared" ref="J7:J21" si="3">J3</x:f>
        <x:v>0</x:v>
      </x:c>
      <x:c r="K7" s="1">
        <x:v>0</x:v>
      </x:c>
      <x:c r="L7" s="1" t="str">
        <x:f>L3</x:f>
        <x:v>Target</x:v>
      </x:c>
      <x:c r="M7" s="1" t="str">
        <x:f t="shared" si="2"/>
        <x:v>Enemy</x:v>
      </x:c>
      <x:c r="N7" s="1" t="s">
        <x:v>35</x:v>
      </x:c>
      <x:c r="O7" s="1" t="s">
        <x:v>35</x:v>
      </x:c>
      <x:c r="P7" s="1">
        <x:v>15</x:v>
      </x:c>
      <x:c r="Q7" s="1">
        <x:v>0</x:v>
      </x:c>
      <x:c r="R7" s="1">
        <x:f t="shared" si="1"/>
        <x:v>1201</x:v>
      </x:c>
    </x:row>
    <x:row r="8" spans="1:18">
      <x:c r="A8" s="1">
        <x:f t="shared" ref="A8:A21" si="4">A4+1000</x:f>
        <x:v>2301</x:v>
      </x:c>
      <x:c r="B8" s="1" t="str">
        <x:f>B4</x:f>
        <x:v>(함정) 검 타워</x:v>
      </x:c>
      <x:c r="C8" s="1">
        <x:v>1</x:v>
      </x:c>
      <x:c r="D8" s="1">
        <x:f>ROUND(D4*2,2)</x:f>
        <x:v>30</x:v>
      </x:c>
      <x:c r="E8" s="1">
        <x:f>ROUND(E4,2)</x:f>
        <x:v>2.1000000000000001</x:v>
      </x:c>
      <x:c r="F8" s="1">
        <x:f>ROUND(F4*2.1,2)</x:f>
        <x:v>0.020000000000000001</x:v>
      </x:c>
      <x:c r="G8" s="1" t="b">
        <x:v>0</x:v>
      </x:c>
      <x:c r="H8" s="1">
        <x:v>0</x:v>
      </x:c>
      <x:c r="I8" s="1">
        <x:v>0</x:v>
      </x:c>
      <x:c r="J8" s="1">
        <x:f t="shared" si="3"/>
        <x:v>30</x:v>
      </x:c>
      <x:c r="K8" s="1">
        <x:v>0</x:v>
      </x:c>
      <x:c r="L8" s="1" t="str">
        <x:f>L4</x:f>
        <x:v>Trap</x:v>
      </x:c>
      <x:c r="M8" s="1" t="str">
        <x:f t="shared" si="2"/>
        <x:v>Enemy</x:v>
      </x:c>
      <x:c r="N8" s="1" t="s">
        <x:v>35</x:v>
      </x:c>
      <x:c r="O8" s="1" t="s">
        <x:v>35</x:v>
      </x:c>
      <x:c r="P8" s="1">
        <x:v>1</x:v>
      </x:c>
      <x:c r="Q8" s="1">
        <x:f>Q4</x:f>
        <x:v>1.5</x:v>
      </x:c>
      <x:c r="R8" s="1">
        <x:f t="shared" si="1"/>
        <x:v>1301</x:v>
      </x:c>
    </x:row>
    <x:row r="9" spans="1:18">
      <x:c r="A9" s="1">
        <x:f t="shared" si="4"/>
        <x:v>2401</x:v>
      </x:c>
      <x:c r="B9" s="1" t="str">
        <x:f>B5</x:f>
        <x:v>(버프) 검 타워</x:v>
      </x:c>
      <x:c r="C9" s="1">
        <x:v>1</x:v>
      </x:c>
      <x:c r="D9" s="1">
        <x:v>0</x:v>
      </x:c>
      <x:c r="E9" s="1">
        <x:f>E5+0</x:f>
        <x:v>1</x:v>
      </x:c>
      <x:c r="F9" s="1">
        <x:v>1</x:v>
      </x:c>
      <x:c r="G9" s="1" t="b">
        <x:v>0</x:v>
      </x:c>
      <x:c r="H9" s="1">
        <x:v>0</x:v>
      </x:c>
      <x:c r="I9" s="1">
        <x:v>0</x:v>
      </x:c>
      <x:c r="J9" s="1">
        <x:f t="shared" si="3"/>
        <x:v>1</x:v>
      </x:c>
      <x:c r="K9" s="1">
        <x:f>IF(L9="Buff",1.4,25)</x:f>
        <x:v>1.3999999999999999</x:v>
      </x:c>
      <x:c r="L9" s="1" t="str">
        <x:f>L5</x:f>
        <x:v>Buff</x:v>
      </x:c>
      <x:c r="M9" s="1" t="str">
        <x:f t="shared" si="2"/>
        <x:v>Tower</x:v>
      </x:c>
      <x:c r="N9" s="1" t="str">
        <x:f>N5</x:f>
        <x:v>Damage</x:v>
      </x:c>
      <x:c r="O9" s="1" t="str">
        <x:f>O5</x:f>
        <x:v>None</x:v>
      </x:c>
      <x:c r="P9" s="1">
        <x:v>1</x:v>
      </x:c>
      <x:c r="Q9" s="1">
        <x:v>0</x:v>
      </x:c>
      <x:c r="R9" s="1">
        <x:f t="shared" si="1"/>
        <x:v>1401</x:v>
      </x:c>
    </x:row>
    <x:row r="10" spans="1:18">
      <x:c r="A10" s="1">
        <x:f t="shared" si="4"/>
        <x:v>3101</x:v>
      </x:c>
      <x:c r="B10" s="1" t="str">
        <x:f>B2</x:f>
        <x:v>(광역) 검 타워</x:v>
      </x:c>
      <x:c r="C10" s="1">
        <x:v>1</x:v>
      </x:c>
      <x:c r="D10" s="1">
        <x:f>ROUND(D6*2.25,2)</x:f>
        <x:v>10.130000000000001</x:v>
      </x:c>
      <x:c r="E10" s="1">
        <x:f>ROUND(E6,2)</x:f>
        <x:v>2.1000000000000001</x:v>
      </x:c>
      <x:c r="F10" s="1">
        <x:f>ROUND(F6*2.2,2)</x:f>
        <x:v>1.0600000000000001</x:v>
      </x:c>
      <x:c r="G10" s="1" t="b">
        <x:v>0</x:v>
      </x:c>
      <x:c r="H10" s="1">
        <x:f>IF(H6*1.4&lt;=1,H6*1.4,1)</x:f>
        <x:v>0.067199999999999993</x:v>
      </x:c>
      <x:c r="I10" s="1">
        <x:f>ROUND(I6*1.5,2)</x:f>
        <x:v>0.14999999999999999</x:v>
      </x:c>
      <x:c r="J10" s="1">
        <x:f>ROUND(J2*2,2)</x:f>
        <x:v>1</x:v>
      </x:c>
      <x:c r="K10" s="1">
        <x:v>60</x:v>
      </x:c>
      <x:c r="L10" s="1" t="str">
        <x:f t="shared" ref="L10:L21" si="5">L6</x:f>
        <x:v>Splash</x:v>
      </x:c>
      <x:c r="M10" s="1" t="str">
        <x:f t="shared" si="2"/>
        <x:v>Enemy</x:v>
      </x:c>
      <x:c r="N10" s="1" t="s">
        <x:v>35</x:v>
      </x:c>
      <x:c r="O10" s="1" t="s">
        <x:v>35</x:v>
      </x:c>
      <x:c r="P10" s="1">
        <x:v>10</x:v>
      </x:c>
      <x:c r="Q10" s="1">
        <x:f>Q2*1.5</x:f>
        <x:v>3</x:v>
      </x:c>
      <x:c r="R10" s="1">
        <x:f t="shared" si="1"/>
        <x:v>2101</x:v>
      </x:c>
    </x:row>
    <x:row r="11" spans="1:18">
      <x:c r="A11" s="1">
        <x:f t="shared" si="4"/>
        <x:v>3201</x:v>
      </x:c>
      <x:c r="B11" s="1" t="str">
        <x:f>B3</x:f>
        <x:v>(단일) 검 타워</x:v>
      </x:c>
      <x:c r="C11" s="1">
        <x:v>1</x:v>
      </x:c>
      <x:c r="D11" s="1">
        <x:f>ROUND(D7*2,2)</x:f>
        <x:v>6.3600000000000003</x:v>
      </x:c>
      <x:c r="E11" s="1">
        <x:f>ROUND(E7,2)</x:f>
        <x:v>2.1000000000000001</x:v>
      </x:c>
      <x:c r="F11" s="1">
        <x:f>ROUND(F7*2.4,2)</x:f>
        <x:v>1.99</x:v>
      </x:c>
      <x:c r="G11" s="1" t="b">
        <x:v>0</x:v>
      </x:c>
      <x:c r="H11" s="1">
        <x:f>IF(H7*1.4&lt;=1,H7*1.4,1)</x:f>
        <x:v>0.126</x:v>
      </x:c>
      <x:c r="I11" s="1">
        <x:f>ROUND(I7*1.5,2)</x:f>
        <x:v>0.080000000000000004</x:v>
      </x:c>
      <x:c r="J11" s="1">
        <x:f t="shared" si="3"/>
        <x:v>0</x:v>
      </x:c>
      <x:c r="K11" s="1">
        <x:v>0</x:v>
      </x:c>
      <x:c r="L11" s="1" t="str">
        <x:f t="shared" si="5"/>
        <x:v>Target</x:v>
      </x:c>
      <x:c r="M11" s="1" t="str">
        <x:f t="shared" si="2"/>
        <x:v>Enemy</x:v>
      </x:c>
      <x:c r="N11" s="1" t="s">
        <x:v>35</x:v>
      </x:c>
      <x:c r="O11" s="1" t="s">
        <x:v>35</x:v>
      </x:c>
      <x:c r="P11" s="1">
        <x:v>15</x:v>
      </x:c>
      <x:c r="Q11" s="1">
        <x:v>0</x:v>
      </x:c>
      <x:c r="R11" s="1">
        <x:f t="shared" si="1"/>
        <x:v>2201</x:v>
      </x:c>
    </x:row>
    <x:row r="12" spans="1:18">
      <x:c r="A12" s="1">
        <x:f t="shared" si="4"/>
        <x:v>3301</x:v>
      </x:c>
      <x:c r="B12" s="1" t="str">
        <x:f>B4</x:f>
        <x:v>(함정) 검 타워</x:v>
      </x:c>
      <x:c r="C12" s="1">
        <x:v>1</x:v>
      </x:c>
      <x:c r="D12" s="1">
        <x:f>ROUND(D8*2.5,2)</x:f>
        <x:v>75</x:v>
      </x:c>
      <x:c r="E12" s="1">
        <x:f>ROUND(E8,2)</x:f>
        <x:v>2.1000000000000001</x:v>
      </x:c>
      <x:c r="F12" s="1">
        <x:f>ROUND(F8*2.2,2)</x:f>
        <x:v>0.040000000000000002</x:v>
      </x:c>
      <x:c r="G12" s="1" t="b">
        <x:v>0</x:v>
      </x:c>
      <x:c r="H12" s="1">
        <x:v>0</x:v>
      </x:c>
      <x:c r="I12" s="1">
        <x:v>0</x:v>
      </x:c>
      <x:c r="J12" s="1">
        <x:f t="shared" si="3"/>
        <x:v>30</x:v>
      </x:c>
      <x:c r="K12" s="1">
        <x:v>0</x:v>
      </x:c>
      <x:c r="L12" s="1" t="str">
        <x:f t="shared" si="5"/>
        <x:v>Trap</x:v>
      </x:c>
      <x:c r="M12" s="1" t="str">
        <x:f t="shared" si="2"/>
        <x:v>Enemy</x:v>
      </x:c>
      <x:c r="N12" s="1" t="s">
        <x:v>35</x:v>
      </x:c>
      <x:c r="O12" s="1" t="s">
        <x:v>35</x:v>
      </x:c>
      <x:c r="P12" s="1">
        <x:v>1</x:v>
      </x:c>
      <x:c r="Q12" s="1">
        <x:f>Q4*1.5</x:f>
        <x:v>2.25</x:v>
      </x:c>
      <x:c r="R12" s="1">
        <x:f t="shared" si="1"/>
        <x:v>2301</x:v>
      </x:c>
    </x:row>
    <x:row r="13" spans="1:18">
      <x:c r="A13" s="1">
        <x:f t="shared" si="4"/>
        <x:v>3401</x:v>
      </x:c>
      <x:c r="B13" s="1" t="str">
        <x:f>B5</x:f>
        <x:v>(버프) 검 타워</x:v>
      </x:c>
      <x:c r="C13" s="1">
        <x:v>1</x:v>
      </x:c>
      <x:c r="D13" s="1">
        <x:v>0</x:v>
      </x:c>
      <x:c r="E13" s="1">
        <x:f>E9+1</x:f>
        <x:v>2</x:v>
      </x:c>
      <x:c r="F13" s="1">
        <x:v>1</x:v>
      </x:c>
      <x:c r="G13" s="1" t="b">
        <x:v>0</x:v>
      </x:c>
      <x:c r="H13" s="1">
        <x:v>0</x:v>
      </x:c>
      <x:c r="I13" s="1">
        <x:v>0</x:v>
      </x:c>
      <x:c r="J13" s="1">
        <x:f t="shared" si="3"/>
        <x:v>1</x:v>
      </x:c>
      <x:c r="K13" s="1">
        <x:f>IF(L13="Buff",2,60)</x:f>
        <x:v>2</x:v>
      </x:c>
      <x:c r="L13" s="1" t="str">
        <x:f t="shared" si="5"/>
        <x:v>Buff</x:v>
      </x:c>
      <x:c r="M13" s="1" t="str">
        <x:f t="shared" si="2"/>
        <x:v>Tower</x:v>
      </x:c>
      <x:c r="N13" s="1" t="str">
        <x:f>N9</x:f>
        <x:v>Damage</x:v>
      </x:c>
      <x:c r="O13" s="1" t="str">
        <x:f>O9</x:f>
        <x:v>None</x:v>
      </x:c>
      <x:c r="P13" s="1">
        <x:v>1</x:v>
      </x:c>
      <x:c r="Q13" s="1">
        <x:v>0</x:v>
      </x:c>
      <x:c r="R13" s="1">
        <x:f t="shared" si="1"/>
        <x:v>2401</x:v>
      </x:c>
    </x:row>
    <x:row r="14" spans="1:18">
      <x:c r="A14" s="1">
        <x:f t="shared" si="4"/>
        <x:v>4101</x:v>
      </x:c>
      <x:c r="B14" s="1" t="str">
        <x:f>B2</x:f>
        <x:v>(광역) 검 타워</x:v>
      </x:c>
      <x:c r="C14" s="1">
        <x:v>1</x:v>
      </x:c>
      <x:c r="D14" s="1">
        <x:f>ROUND(D10*3,2)</x:f>
        <x:v>30.390000000000001</x:v>
      </x:c>
      <x:c r="E14" s="1">
        <x:f>ROUND(E10*1.1,2)</x:f>
        <x:v>2.3100000000000001</x:v>
      </x:c>
      <x:c r="F14" s="1">
        <x:f>ROUND(F10*2.5,2)</x:f>
        <x:v>2.6499999999999999</x:v>
      </x:c>
      <x:c r="G14" s="1" t="b">
        <x:v>0</x:v>
      </x:c>
      <x:c r="H14" s="1">
        <x:f>IF(H10*1.6&lt;=1,H10*1.6,1)</x:f>
        <x:v>0.10752</x:v>
      </x:c>
      <x:c r="I14" s="1">
        <x:f>ROUND(I10*2,2)</x:f>
        <x:v>0.29999999999999999</x:v>
      </x:c>
      <x:c r="J14" s="1">
        <x:f>ROUND(J2*3,2)</x:f>
        <x:v>1.5</x:v>
      </x:c>
      <x:c r="K14" s="1">
        <x:v>150</x:v>
      </x:c>
      <x:c r="L14" s="1" t="str">
        <x:f t="shared" si="5"/>
        <x:v>Splash</x:v>
      </x:c>
      <x:c r="M14" s="1" t="str">
        <x:f t="shared" si="2"/>
        <x:v>Enemy</x:v>
      </x:c>
      <x:c r="N14" s="1" t="s">
        <x:v>35</x:v>
      </x:c>
      <x:c r="O14" s="1" t="s">
        <x:v>35</x:v>
      </x:c>
      <x:c r="P14" s="1">
        <x:v>10</x:v>
      </x:c>
      <x:c r="Q14" s="1">
        <x:f>Q2*2</x:f>
        <x:v>4</x:v>
      </x:c>
      <x:c r="R14" s="1">
        <x:f t="shared" si="1"/>
        <x:v>3101</x:v>
      </x:c>
    </x:row>
    <x:row r="15" spans="1:18">
      <x:c r="A15" s="1">
        <x:f t="shared" si="4"/>
        <x:v>4201</x:v>
      </x:c>
      <x:c r="B15" s="1" t="str">
        <x:f>B3</x:f>
        <x:v>(단일) 검 타워</x:v>
      </x:c>
      <x:c r="C15" s="1">
        <x:v>1</x:v>
      </x:c>
      <x:c r="D15" s="1">
        <x:f>ROUND(D11*3,2)</x:f>
        <x:v>19.079999999999998</x:v>
      </x:c>
      <x:c r="E15" s="1">
        <x:f>ROUND(E11*1.1,2)</x:f>
        <x:v>2.3100000000000001</x:v>
      </x:c>
      <x:c r="F15" s="1">
        <x:f>ROUND(F11*2.75,2)</x:f>
        <x:v>5.4699999999999998</x:v>
      </x:c>
      <x:c r="G15" s="1" t="b">
        <x:v>0</x:v>
      </x:c>
      <x:c r="H15" s="1">
        <x:f>IF(H11*1.6&lt;=1,H11*1.6,1)</x:f>
        <x:v>0.2016</x:v>
      </x:c>
      <x:c r="I15" s="1">
        <x:f>ROUND(I11*2,2)</x:f>
        <x:v>0.16</x:v>
      </x:c>
      <x:c r="J15" s="1">
        <x:f t="shared" si="3"/>
        <x:v>0</x:v>
      </x:c>
      <x:c r="K15" s="1">
        <x:v>0</x:v>
      </x:c>
      <x:c r="L15" s="1" t="str">
        <x:f t="shared" si="5"/>
        <x:v>Target</x:v>
      </x:c>
      <x:c r="M15" s="1" t="str">
        <x:f t="shared" si="2"/>
        <x:v>Enemy</x:v>
      </x:c>
      <x:c r="N15" s="1" t="s">
        <x:v>35</x:v>
      </x:c>
      <x:c r="O15" s="1" t="s">
        <x:v>35</x:v>
      </x:c>
      <x:c r="P15" s="1">
        <x:v>15</x:v>
      </x:c>
      <x:c r="Q15" s="1">
        <x:v>0</x:v>
      </x:c>
      <x:c r="R15" s="1">
        <x:f t="shared" si="1"/>
        <x:v>3201</x:v>
      </x:c>
    </x:row>
    <x:row r="16" spans="1:18">
      <x:c r="A16" s="1">
        <x:f t="shared" si="4"/>
        <x:v>4301</x:v>
      </x:c>
      <x:c r="B16" s="1" t="str">
        <x:f>B4</x:f>
        <x:v>(함정) 검 타워</x:v>
      </x:c>
      <x:c r="C16" s="1">
        <x:v>1</x:v>
      </x:c>
      <x:c r="D16" s="1">
        <x:f>ROUND(D12*3,2)</x:f>
        <x:v>225</x:v>
      </x:c>
      <x:c r="E16" s="1">
        <x:f>ROUND(E12*1.1,2)</x:f>
        <x:v>2.3100000000000001</x:v>
      </x:c>
      <x:c r="F16" s="1">
        <x:f>ROUND(F12*2.5,2)</x:f>
        <x:v>0.10000000000000001</x:v>
      </x:c>
      <x:c r="G16" s="1" t="b">
        <x:v>0</x:v>
      </x:c>
      <x:c r="H16" s="1">
        <x:v>0</x:v>
      </x:c>
      <x:c r="I16" s="1">
        <x:v>0</x:v>
      </x:c>
      <x:c r="J16" s="1">
        <x:f t="shared" si="3"/>
        <x:v>30</x:v>
      </x:c>
      <x:c r="K16" s="1">
        <x:v>0</x:v>
      </x:c>
      <x:c r="L16" s="1" t="str">
        <x:f t="shared" si="5"/>
        <x:v>Trap</x:v>
      </x:c>
      <x:c r="M16" s="1" t="str">
        <x:f t="shared" si="2"/>
        <x:v>Enemy</x:v>
      </x:c>
      <x:c r="N16" s="1" t="s">
        <x:v>35</x:v>
      </x:c>
      <x:c r="O16" s="1" t="s">
        <x:v>35</x:v>
      </x:c>
      <x:c r="P16" s="1">
        <x:v>1</x:v>
      </x:c>
      <x:c r="Q16" s="1">
        <x:f>Q4*2</x:f>
        <x:v>3</x:v>
      </x:c>
      <x:c r="R16" s="1">
        <x:f t="shared" si="1"/>
        <x:v>3301</x:v>
      </x:c>
    </x:row>
    <x:row r="17" spans="1:18">
      <x:c r="A17" s="1">
        <x:f t="shared" si="4"/>
        <x:v>4401</x:v>
      </x:c>
      <x:c r="B17" s="1" t="str">
        <x:f>B5</x:f>
        <x:v>(버프) 검 타워</x:v>
      </x:c>
      <x:c r="C17" s="1">
        <x:v>1</x:v>
      </x:c>
      <x:c r="D17" s="1">
        <x:v>0</x:v>
      </x:c>
      <x:c r="E17" s="1">
        <x:f>E13+2</x:f>
        <x:v>4</x:v>
      </x:c>
      <x:c r="F17" s="1">
        <x:v>1</x:v>
      </x:c>
      <x:c r="G17" s="1" t="b">
        <x:v>0</x:v>
      </x:c>
      <x:c r="H17" s="1">
        <x:v>0</x:v>
      </x:c>
      <x:c r="I17" s="1">
        <x:v>0</x:v>
      </x:c>
      <x:c r="J17" s="1">
        <x:f t="shared" si="3"/>
        <x:v>1</x:v>
      </x:c>
      <x:c r="K17" s="1">
        <x:f>IF(L17="Buff",3,150)</x:f>
        <x:v>3</x:v>
      </x:c>
      <x:c r="L17" s="1" t="str">
        <x:f t="shared" si="5"/>
        <x:v>Buff</x:v>
      </x:c>
      <x:c r="M17" s="1" t="str">
        <x:f t="shared" si="2"/>
        <x:v>Tower</x:v>
      </x:c>
      <x:c r="N17" s="1" t="str">
        <x:f>N13</x:f>
        <x:v>Damage</x:v>
      </x:c>
      <x:c r="O17" s="1" t="str">
        <x:f>O13</x:f>
        <x:v>None</x:v>
      </x:c>
      <x:c r="P17" s="1">
        <x:v>1</x:v>
      </x:c>
      <x:c r="Q17" s="1">
        <x:v>0</x:v>
      </x:c>
      <x:c r="R17" s="1">
        <x:f t="shared" si="1"/>
        <x:v>3401</x:v>
      </x:c>
    </x:row>
    <x:row r="18" spans="1:18">
      <x:c r="A18" s="1">
        <x:f t="shared" si="4"/>
        <x:v>5101</x:v>
      </x:c>
      <x:c r="B18" s="1" t="str">
        <x:f>B2</x:f>
        <x:v>(광역) 검 타워</x:v>
      </x:c>
      <x:c r="C18" s="1">
        <x:v>1</x:v>
      </x:c>
      <x:c r="D18" s="1">
        <x:f>ROUND(D14*4.2,2)</x:f>
        <x:v>127.64</x:v>
      </x:c>
      <x:c r="E18" s="1">
        <x:f>ROUND(E14*1.25,2)</x:f>
        <x:v>2.8900000000000001</x:v>
      </x:c>
      <x:c r="F18" s="1">
        <x:f>ROUND(F14*3,2)</x:f>
        <x:v>7.9500000000000002</x:v>
      </x:c>
      <x:c r="G18" s="1" t="b">
        <x:v>0</x:v>
      </x:c>
      <x:c r="H18" s="1">
        <x:f>IF(H14*1.8&lt;=1,H14*1.8,1)</x:f>
        <x:v>0.19353600000000001</x:v>
      </x:c>
      <x:c r="I18" s="1">
        <x:f>ROUND(I14*2.8,2)</x:f>
        <x:v>0.83999999999999997</x:v>
      </x:c>
      <x:c r="J18" s="1">
        <x:f>ROUND(J2*5,2)</x:f>
        <x:v>2.5</x:v>
      </x:c>
      <x:c r="K18" s="1">
        <x:v>525</x:v>
      </x:c>
      <x:c r="L18" s="1" t="str">
        <x:f t="shared" si="5"/>
        <x:v>Splash</x:v>
      </x:c>
      <x:c r="M18" s="1" t="str">
        <x:f t="shared" si="2"/>
        <x:v>Enemy</x:v>
      </x:c>
      <x:c r="N18" s="1" t="s">
        <x:v>35</x:v>
      </x:c>
      <x:c r="O18" s="1" t="s">
        <x:v>35</x:v>
      </x:c>
      <x:c r="P18" s="1">
        <x:v>10</x:v>
      </x:c>
      <x:c r="Q18" s="1">
        <x:f>Q2*3</x:f>
        <x:v>6</x:v>
      </x:c>
      <x:c r="R18" s="1">
        <x:f t="shared" si="1"/>
        <x:v>4101</x:v>
      </x:c>
    </x:row>
    <x:row r="19" spans="1:18">
      <x:c r="A19" s="1">
        <x:f t="shared" si="4"/>
        <x:v>5201</x:v>
      </x:c>
      <x:c r="B19" s="1" t="str">
        <x:f>B3</x:f>
        <x:v>(단일) 검 타워</x:v>
      </x:c>
      <x:c r="C19" s="1">
        <x:v>1</x:v>
      </x:c>
      <x:c r="D19" s="1">
        <x:f>ROUND(D15*5,2)</x:f>
        <x:v>95.400000000000006</x:v>
      </x:c>
      <x:c r="E19" s="1">
        <x:f t="shared" ref="E19:E20" si="6">ROUND(E15*1.25,2)</x:f>
        <x:v>2.8900000000000001</x:v>
      </x:c>
      <x:c r="F19" s="1">
        <x:f>ROUND(F15*4,2)</x:f>
        <x:v>21.879999999999999</x:v>
      </x:c>
      <x:c r="G19" s="1" t="b">
        <x:v>0</x:v>
      </x:c>
      <x:c r="H19" s="1">
        <x:f>IF(H15*1.8&lt;=1,H15*1.8,1)</x:f>
        <x:v>0.36288000000000004</x:v>
      </x:c>
      <x:c r="I19" s="1">
        <x:f>ROUND(I15*2.8,2)</x:f>
        <x:v>0.45000000000000001</x:v>
      </x:c>
      <x:c r="J19" s="1">
        <x:f t="shared" si="3"/>
        <x:v>0</x:v>
      </x:c>
      <x:c r="K19" s="1">
        <x:v>0</x:v>
      </x:c>
      <x:c r="L19" s="1" t="str">
        <x:f t="shared" si="5"/>
        <x:v>Target</x:v>
      </x:c>
      <x:c r="M19" s="1" t="str">
        <x:f t="shared" si="2"/>
        <x:v>Enemy</x:v>
      </x:c>
      <x:c r="N19" s="1" t="s">
        <x:v>35</x:v>
      </x:c>
      <x:c r="O19" s="1" t="s">
        <x:v>35</x:v>
      </x:c>
      <x:c r="P19" s="1">
        <x:v>15</x:v>
      </x:c>
      <x:c r="Q19" s="1">
        <x:v>0</x:v>
      </x:c>
      <x:c r="R19" s="1">
        <x:f t="shared" si="1"/>
        <x:v>4201</x:v>
      </x:c>
    </x:row>
    <x:row r="20" spans="1:18">
      <x:c r="A20" s="1">
        <x:f t="shared" si="4"/>
        <x:v>5301</x:v>
      </x:c>
      <x:c r="B20" s="1" t="str">
        <x:f>B4</x:f>
        <x:v>(함정) 검 타워</x:v>
      </x:c>
      <x:c r="C20" s="1">
        <x:v>1</x:v>
      </x:c>
      <x:c r="D20" s="1">
        <x:f>ROUND(D16*5,2)</x:f>
        <x:v>1125</x:v>
      </x:c>
      <x:c r="E20" s="1">
        <x:f t="shared" si="6"/>
        <x:v>2.8900000000000001</x:v>
      </x:c>
      <x:c r="F20" s="1">
        <x:f>ROUND(F16*3,2)</x:f>
        <x:v>0.29999999999999999</x:v>
      </x:c>
      <x:c r="G20" s="1" t="b">
        <x:v>0</x:v>
      </x:c>
      <x:c r="H20" s="1">
        <x:v>0</x:v>
      </x:c>
      <x:c r="I20" s="1">
        <x:v>0</x:v>
      </x:c>
      <x:c r="J20" s="1">
        <x:f t="shared" si="3"/>
        <x:v>30</x:v>
      </x:c>
      <x:c r="K20" s="1">
        <x:v>0</x:v>
      </x:c>
      <x:c r="L20" s="1" t="str">
        <x:f t="shared" si="5"/>
        <x:v>Trap</x:v>
      </x:c>
      <x:c r="M20" s="1" t="str">
        <x:f t="shared" si="2"/>
        <x:v>Enemy</x:v>
      </x:c>
      <x:c r="N20" s="1" t="s">
        <x:v>35</x:v>
      </x:c>
      <x:c r="O20" s="1" t="s">
        <x:v>35</x:v>
      </x:c>
      <x:c r="P20" s="1">
        <x:v>1</x:v>
      </x:c>
      <x:c r="Q20" s="1">
        <x:f>Q4*3</x:f>
        <x:v>4.5</x:v>
      </x:c>
      <x:c r="R20" s="1">
        <x:f t="shared" si="1"/>
        <x:v>4301</x:v>
      </x:c>
    </x:row>
    <x:row r="21" spans="1:18">
      <x:c r="A21" s="1">
        <x:f t="shared" si="4"/>
        <x:v>5401</x:v>
      </x:c>
      <x:c r="B21" s="1" t="str">
        <x:f>B5</x:f>
        <x:v>(버프) 검 타워</x:v>
      </x:c>
      <x:c r="C21" s="1">
        <x:v>1</x:v>
      </x:c>
      <x:c r="D21" s="1">
        <x:v>0</x:v>
      </x:c>
      <x:c r="E21" s="1">
        <x:f>E17+3</x:f>
        <x:v>7</x:v>
      </x:c>
      <x:c r="F21" s="1">
        <x:v>1</x:v>
      </x:c>
      <x:c r="G21" s="1" t="b">
        <x:v>0</x:v>
      </x:c>
      <x:c r="H21" s="1">
        <x:v>0</x:v>
      </x:c>
      <x:c r="I21" s="1">
        <x:v>0</x:v>
      </x:c>
      <x:c r="J21" s="1">
        <x:f t="shared" si="3"/>
        <x:v>1</x:v>
      </x:c>
      <x:c r="K21" s="1">
        <x:f>IF(L21="Buff",5,525)</x:f>
        <x:v>5</x:v>
      </x:c>
      <x:c r="L21" s="1" t="str">
        <x:f t="shared" si="5"/>
        <x:v>Buff</x:v>
      </x:c>
      <x:c r="M21" s="1" t="str">
        <x:f t="shared" si="2"/>
        <x:v>Tower</x:v>
      </x:c>
      <x:c r="N21" s="1" t="str">
        <x:f>N17</x:f>
        <x:v>Damage</x:v>
      </x:c>
      <x:c r="O21" s="1" t="str">
        <x:f>O17</x:f>
        <x:v>None</x:v>
      </x:c>
      <x:c r="P21" s="1">
        <x:v>1</x:v>
      </x:c>
      <x:c r="Q21" s="1">
        <x:v>0</x:v>
      </x:c>
      <x:c r="R21" s="1">
        <x:f t="shared" si="1"/>
        <x:v>4401</x:v>
      </x:c>
    </x:row>
    <x:row r="22" spans="1:18">
      <x:c r="A22" s="1">
        <x:v>1102</x:v>
      </x:c>
      <x:c r="B22" s="1" t="s">
        <x:v>51</x:v>
      </x:c>
      <x:c r="C22" s="1">
        <x:v>1</x:v>
      </x:c>
      <x:c r="D22" s="1">
        <x:v>1.55</x:v>
      </x:c>
      <x:c r="E22" s="1">
        <x:v>2.75</x:v>
      </x:c>
      <x:c r="F22" s="1">
        <x:v>0.34999999999999998</x:v>
      </x:c>
      <x:c r="G22" s="1" t="b">
        <x:v>0</x:v>
      </x:c>
      <x:c r="H22" s="1">
        <x:v>0.05</x:v>
      </x:c>
      <x:c r="I22" s="1">
        <x:v>0.089999999999999991</x:v>
      </x:c>
      <x:c r="J22" s="1">
        <x:v>0.5</x:v>
      </x:c>
      <x:c r="K22" s="1">
        <x:v>8.6957000000000004</x:v>
      </x:c>
      <x:c r="L22" s="1" t="s">
        <x:v>29</x:v>
      </x:c>
      <x:c r="M22" s="1" t="str">
        <x:f t="shared" ref="M22:M24" si="7">IF(L22="Buff","Tower","Enemy")</x:f>
        <x:v>Enemy</x:v>
      </x:c>
      <x:c r="N22" s="1" t="s">
        <x:v>35</x:v>
      </x:c>
      <x:c r="O22" s="1" t="s">
        <x:v>35</x:v>
      </x:c>
      <x:c r="P22" s="1">
        <x:v>10</x:v>
      </x:c>
      <x:c r="Q22" s="1">
        <x:v>2</x:v>
      </x:c>
      <x:c r="R22" s="1">
        <x:f t="shared" si="1"/>
        <x:v>102</x:v>
      </x:c>
    </x:row>
    <x:row r="23" spans="1:18">
      <x:c r="A23" s="1">
        <x:f>A22+100</x:f>
        <x:v>1202</x:v>
      </x:c>
      <x:c r="B23" s="1" t="s">
        <x:v>54</x:v>
      </x:c>
      <x:c r="C23" s="1">
        <x:v>1</x:v>
      </x:c>
      <x:c r="D23" s="1">
        <x:v>1.28</x:v>
      </x:c>
      <x:c r="E23" s="1">
        <x:v>2.75</x:v>
      </x:c>
      <x:c r="F23" s="1">
        <x:v>0.53000000000000003</x:v>
      </x:c>
      <x:c r="G23" s="1" t="b">
        <x:v>0</x:v>
      </x:c>
      <x:c r="H23" s="1">
        <x:v>0.080000000000000004</x:v>
      </x:c>
      <x:c r="I23" s="1">
        <x:v>0.05</x:v>
      </x:c>
      <x:c r="J23" s="1">
        <x:v>0</x:v>
      </x:c>
      <x:c r="K23" s="1">
        <x:v>0</x:v>
      </x:c>
      <x:c r="L23" s="1" t="s">
        <x:v>26</x:v>
      </x:c>
      <x:c r="M23" s="1" t="str">
        <x:f t="shared" si="7"/>
        <x:v>Enemy</x:v>
      </x:c>
      <x:c r="N23" s="1" t="s">
        <x:v>35</x:v>
      </x:c>
      <x:c r="O23" s="1" t="s">
        <x:v>35</x:v>
      </x:c>
      <x:c r="P23" s="1">
        <x:v>15</x:v>
      </x:c>
      <x:c r="Q23" s="1">
        <x:v>0</x:v>
      </x:c>
      <x:c r="R23" s="1">
        <x:f t="shared" si="1"/>
        <x:v>202</x:v>
      </x:c>
    </x:row>
    <x:row r="24" spans="1:18">
      <x:c r="A24" s="1">
        <x:f>A22+200</x:f>
        <x:v>1302</x:v>
      </x:c>
      <x:c r="B24" s="1" t="s">
        <x:v>43</x:v>
      </x:c>
      <x:c r="C24" s="1">
        <x:v>1</x:v>
      </x:c>
      <x:c r="D24" s="1">
        <x:v>8</x:v>
      </x:c>
      <x:c r="E24" s="1">
        <x:v>2.75</x:v>
      </x:c>
      <x:c r="F24" s="1">
        <x:v>0.014999999999999999</x:v>
      </x:c>
      <x:c r="G24" s="1" t="b">
        <x:v>0</x:v>
      </x:c>
      <x:c r="H24" s="1">
        <x:v>0</x:v>
      </x:c>
      <x:c r="I24" s="1">
        <x:v>0</x:v>
      </x:c>
      <x:c r="J24" s="1">
        <x:v>30</x:v>
      </x:c>
      <x:c r="K24" s="1">
        <x:v>0</x:v>
      </x:c>
      <x:c r="L24" s="1" t="s">
        <x:v>42</x:v>
      </x:c>
      <x:c r="M24" s="1" t="str">
        <x:f t="shared" si="7"/>
        <x:v>Enemy</x:v>
      </x:c>
      <x:c r="N24" s="1" t="s">
        <x:v>35</x:v>
      </x:c>
      <x:c r="O24" s="1" t="s">
        <x:v>35</x:v>
      </x:c>
      <x:c r="P24" s="1">
        <x:v>1</x:v>
      </x:c>
      <x:c r="Q24" s="1">
        <x:v>1.5</x:v>
      </x:c>
      <x:c r="R24" s="1">
        <x:f t="shared" si="1"/>
        <x:v>302</x:v>
      </x:c>
    </x:row>
    <x:row r="25" spans="1:18">
      <x:c r="A25" s="1">
        <x:f>A22+300</x:f>
        <x:v>1402</x:v>
      </x:c>
      <x:c r="B25" s="1" t="s">
        <x:v>60</x:v>
      </x:c>
      <x:c r="C25" s="1">
        <x:v>1</x:v>
      </x:c>
      <x:c r="D25" s="1">
        <x:v>0</x:v>
      </x:c>
      <x:c r="E25" s="1">
        <x:v>1</x:v>
      </x:c>
      <x:c r="F25" s="1">
        <x:v>1</x:v>
      </x:c>
      <x:c r="G25" s="1" t="b">
        <x:v>0</x:v>
      </x:c>
      <x:c r="H25" s="1">
        <x:v>0</x:v>
      </x:c>
      <x:c r="I25" s="1">
        <x:v>0</x:v>
      </x:c>
      <x:c r="J25" s="1">
        <x:v>1</x:v>
      </x:c>
      <x:c r="K25" s="1">
        <x:f>IF(L25="Buff",1.2,8.6957)</x:f>
        <x:v>1.2</x:v>
      </x:c>
      <x:c r="L25" s="1" t="s">
        <x:v>32</x:v>
      </x:c>
      <x:c r="M25" s="1" t="str">
        <x:f>IF(L25="Buff","Tower","Enemy")</x:f>
        <x:v>Tower</x:v>
      </x:c>
      <x:c r="N25" s="1" t="s">
        <x:v>27</x:v>
      </x:c>
      <x:c r="O25" s="1" t="s">
        <x:v>35</x:v>
      </x:c>
      <x:c r="P25" s="1">
        <x:v>1</x:v>
      </x:c>
      <x:c r="Q25" s="1">
        <x:v>0</x:v>
      </x:c>
      <x:c r="R25" s="1">
        <x:f t="shared" si="1"/>
        <x:v>402</x:v>
      </x:c>
    </x:row>
    <x:row r="26" spans="1:18">
      <x:c r="A26" s="1">
        <x:f>A22+1000</x:f>
        <x:v>2102</x:v>
      </x:c>
      <x:c r="B26" s="1" t="str">
        <x:f>B22</x:f>
        <x:v>(광역) 활 타워</x:v>
      </x:c>
      <x:c r="C26" s="1">
        <x:v>1</x:v>
      </x:c>
      <x:c r="D26" s="1">
        <x:f>ROUND(D22*1.8,2)</x:f>
        <x:v>2.79</x:v>
      </x:c>
      <x:c r="E26" s="1">
        <x:f>ROUND(E22,2)</x:f>
        <x:v>2.75</x:v>
      </x:c>
      <x:c r="F26" s="1">
        <x:f>ROUND(F22*2.1,2)</x:f>
        <x:v>0.73999999999999999</x:v>
      </x:c>
      <x:c r="G26" s="1" t="b">
        <x:v>0</x:v>
      </x:c>
      <x:c r="H26" s="1">
        <x:f>IF(H22*1.2&lt;=1,H22*1.2,1)</x:f>
        <x:v>0.059999999999999998</x:v>
      </x:c>
      <x:c r="I26" s="1">
        <x:f>ROUND(I22*1.2,2)</x:f>
        <x:v>0.11</x:v>
      </x:c>
      <x:c r="J26" s="1">
        <x:f>ROUND(J22*1.5,2)</x:f>
        <x:v>0.75</x:v>
      </x:c>
      <x:c r="K26" s="1">
        <x:v>25</x:v>
      </x:c>
      <x:c r="L26" s="1" t="str">
        <x:f>L22</x:f>
        <x:v>Splash</x:v>
      </x:c>
      <x:c r="M26" s="1" t="str">
        <x:f t="shared" ref="M26:M41" si="8">IF(L26="Buff","Tower","Enemy")</x:f>
        <x:v>Enemy</x:v>
      </x:c>
      <x:c r="N26" s="1" t="s">
        <x:v>35</x:v>
      </x:c>
      <x:c r="O26" s="1" t="s">
        <x:v>35</x:v>
      </x:c>
      <x:c r="P26" s="1">
        <x:v>10</x:v>
      </x:c>
      <x:c r="Q26" s="1">
        <x:f>Q22</x:f>
        <x:v>2</x:v>
      </x:c>
      <x:c r="R26" s="1">
        <x:f t="shared" si="1"/>
        <x:v>1102</x:v>
      </x:c>
    </x:row>
    <x:row r="27" spans="1:18">
      <x:c r="A27" s="1">
        <x:f>A23+1000</x:f>
        <x:v>2202</x:v>
      </x:c>
      <x:c r="B27" s="1" t="str">
        <x:f>B23</x:f>
        <x:v>(단일) 활 타워</x:v>
      </x:c>
      <x:c r="C27" s="1">
        <x:v>1</x:v>
      </x:c>
      <x:c r="D27" s="1">
        <x:f>ROUND(D23*1.7,2)</x:f>
        <x:v>2.1800000000000002</x:v>
      </x:c>
      <x:c r="E27" s="1">
        <x:f>ROUND(E23,2)</x:f>
        <x:v>2.75</x:v>
      </x:c>
      <x:c r="F27" s="1">
        <x:f>ROUND(F23*2.2,2)</x:f>
        <x:v>1.1699999999999999</x:v>
      </x:c>
      <x:c r="G27" s="1" t="b">
        <x:v>0</x:v>
      </x:c>
      <x:c r="H27" s="1">
        <x:f>IF(H23*1.2&lt;=1,H23*1.2,1)</x:f>
        <x:v>0.095999999999999996</x:v>
      </x:c>
      <x:c r="I27" s="1">
        <x:f>ROUND(I23*1.2,2)</x:f>
        <x:v>0.059999999999999998</x:v>
      </x:c>
      <x:c r="J27" s="1">
        <x:f t="shared" ref="J27:J41" si="9">J23</x:f>
        <x:v>0</x:v>
      </x:c>
      <x:c r="K27" s="1">
        <x:v>0</x:v>
      </x:c>
      <x:c r="L27" s="1" t="str">
        <x:f>L23</x:f>
        <x:v>Target</x:v>
      </x:c>
      <x:c r="M27" s="1" t="str">
        <x:f t="shared" si="8"/>
        <x:v>Enemy</x:v>
      </x:c>
      <x:c r="N27" s="1" t="s">
        <x:v>35</x:v>
      </x:c>
      <x:c r="O27" s="1" t="s">
        <x:v>35</x:v>
      </x:c>
      <x:c r="P27" s="1">
        <x:v>15</x:v>
      </x:c>
      <x:c r="Q27" s="1">
        <x:v>0</x:v>
      </x:c>
      <x:c r="R27" s="1">
        <x:f t="shared" si="1"/>
        <x:v>1202</x:v>
      </x:c>
    </x:row>
    <x:row r="28" spans="1:18">
      <x:c r="A28" s="1">
        <x:f t="shared" ref="A28:A41" si="10">A24+1000</x:f>
        <x:v>2302</x:v>
      </x:c>
      <x:c r="B28" s="1" t="str">
        <x:f>B24</x:f>
        <x:v>(함정) 활 타워</x:v>
      </x:c>
      <x:c r="C28" s="1">
        <x:v>1</x:v>
      </x:c>
      <x:c r="D28" s="1">
        <x:f>ROUND(D24*2,2)</x:f>
        <x:v>16</x:v>
      </x:c>
      <x:c r="E28" s="1">
        <x:f>ROUND(E24,2)</x:f>
        <x:v>2.75</x:v>
      </x:c>
      <x:c r="F28" s="1">
        <x:f>ROUND(F24*2.1,2)</x:f>
        <x:v>0.029999999999999999</x:v>
      </x:c>
      <x:c r="G28" s="1" t="b">
        <x:v>0</x:v>
      </x:c>
      <x:c r="H28" s="1">
        <x:v>0</x:v>
      </x:c>
      <x:c r="I28" s="1">
        <x:v>0</x:v>
      </x:c>
      <x:c r="J28" s="1">
        <x:f t="shared" si="9"/>
        <x:v>30</x:v>
      </x:c>
      <x:c r="K28" s="1">
        <x:v>0</x:v>
      </x:c>
      <x:c r="L28" s="1" t="str">
        <x:f>L24</x:f>
        <x:v>Trap</x:v>
      </x:c>
      <x:c r="M28" s="1" t="str">
        <x:f t="shared" si="8"/>
        <x:v>Enemy</x:v>
      </x:c>
      <x:c r="N28" s="1" t="s">
        <x:v>35</x:v>
      </x:c>
      <x:c r="O28" s="1" t="s">
        <x:v>35</x:v>
      </x:c>
      <x:c r="P28" s="1">
        <x:v>1</x:v>
      </x:c>
      <x:c r="Q28" s="1">
        <x:f>Q24</x:f>
        <x:v>1.5</x:v>
      </x:c>
      <x:c r="R28" s="1">
        <x:f t="shared" si="1"/>
        <x:v>1302</x:v>
      </x:c>
    </x:row>
    <x:row r="29" spans="1:18">
      <x:c r="A29" s="1">
        <x:f t="shared" si="10"/>
        <x:v>2402</x:v>
      </x:c>
      <x:c r="B29" s="1" t="str">
        <x:f>B25</x:f>
        <x:v>(버프) 활 타워</x:v>
      </x:c>
      <x:c r="C29" s="1">
        <x:v>1</x:v>
      </x:c>
      <x:c r="D29" s="1">
        <x:v>0</x:v>
      </x:c>
      <x:c r="E29" s="1">
        <x:f>E25+0</x:f>
        <x:v>1</x:v>
      </x:c>
      <x:c r="F29" s="1">
        <x:v>1</x:v>
      </x:c>
      <x:c r="G29" s="1" t="b">
        <x:v>0</x:v>
      </x:c>
      <x:c r="H29" s="1">
        <x:v>0</x:v>
      </x:c>
      <x:c r="I29" s="1">
        <x:v>0</x:v>
      </x:c>
      <x:c r="J29" s="1">
        <x:f t="shared" si="9"/>
        <x:v>1</x:v>
      </x:c>
      <x:c r="K29" s="1">
        <x:f>IF(L29="Buff",1.4,25)</x:f>
        <x:v>1.3999999999999999</x:v>
      </x:c>
      <x:c r="L29" s="1" t="str">
        <x:f>L25</x:f>
        <x:v>Buff</x:v>
      </x:c>
      <x:c r="M29" s="1" t="str">
        <x:f t="shared" si="8"/>
        <x:v>Tower</x:v>
      </x:c>
      <x:c r="N29" s="1" t="str">
        <x:f>N25</x:f>
        <x:v>Range</x:v>
      </x:c>
      <x:c r="O29" s="1" t="str">
        <x:f>O25</x:f>
        <x:v>None</x:v>
      </x:c>
      <x:c r="P29" s="1">
        <x:v>1</x:v>
      </x:c>
      <x:c r="Q29" s="1">
        <x:v>0</x:v>
      </x:c>
      <x:c r="R29" s="1">
        <x:f t="shared" si="1"/>
        <x:v>1402</x:v>
      </x:c>
    </x:row>
    <x:row r="30" spans="1:18">
      <x:c r="A30" s="1">
        <x:f t="shared" si="10"/>
        <x:v>3102</x:v>
      </x:c>
      <x:c r="B30" s="1" t="str">
        <x:f>B22</x:f>
        <x:v>(광역) 활 타워</x:v>
      </x:c>
      <x:c r="C30" s="1">
        <x:v>1</x:v>
      </x:c>
      <x:c r="D30" s="1">
        <x:f>ROUND(D26*2.25,2)</x:f>
        <x:v>6.2800000000000002</x:v>
      </x:c>
      <x:c r="E30" s="1">
        <x:f>ROUND(E26,2)</x:f>
        <x:v>2.75</x:v>
      </x:c>
      <x:c r="F30" s="1">
        <x:f>ROUND(F26*2.2,2)</x:f>
        <x:v>1.6299999999999999</x:v>
      </x:c>
      <x:c r="G30" s="1" t="b">
        <x:v>0</x:v>
      </x:c>
      <x:c r="H30" s="1">
        <x:f>IF(H26*1.4&lt;=1,H26*1.4,1)</x:f>
        <x:v>0.083999999999999986</x:v>
      </x:c>
      <x:c r="I30" s="1">
        <x:f>ROUND(I26*1.5,2)</x:f>
        <x:v>0.17000000000000001</x:v>
      </x:c>
      <x:c r="J30" s="1">
        <x:f>ROUND(J22*2,2)</x:f>
        <x:v>1</x:v>
      </x:c>
      <x:c r="K30" s="1">
        <x:v>60</x:v>
      </x:c>
      <x:c r="L30" s="1" t="str">
        <x:f t="shared" ref="L30:L41" si="11">L26</x:f>
        <x:v>Splash</x:v>
      </x:c>
      <x:c r="M30" s="1" t="str">
        <x:f t="shared" si="8"/>
        <x:v>Enemy</x:v>
      </x:c>
      <x:c r="N30" s="1" t="s">
        <x:v>35</x:v>
      </x:c>
      <x:c r="O30" s="1" t="s">
        <x:v>35</x:v>
      </x:c>
      <x:c r="P30" s="1">
        <x:v>10</x:v>
      </x:c>
      <x:c r="Q30" s="1">
        <x:f>Q22*1.5</x:f>
        <x:v>3</x:v>
      </x:c>
      <x:c r="R30" s="1">
        <x:f t="shared" si="1"/>
        <x:v>2102</x:v>
      </x:c>
    </x:row>
    <x:row r="31" spans="1:18">
      <x:c r="A31" s="1">
        <x:f t="shared" si="10"/>
        <x:v>3202</x:v>
      </x:c>
      <x:c r="B31" s="1" t="str">
        <x:f>B23</x:f>
        <x:v>(단일) 활 타워</x:v>
      </x:c>
      <x:c r="C31" s="1">
        <x:v>1</x:v>
      </x:c>
      <x:c r="D31" s="1">
        <x:f>ROUND(D27*2,2)</x:f>
        <x:v>4.3600000000000003</x:v>
      </x:c>
      <x:c r="E31" s="1">
        <x:f>ROUND(E27,2)</x:f>
        <x:v>2.75</x:v>
      </x:c>
      <x:c r="F31" s="1">
        <x:f>ROUND(F27*2.4,2)</x:f>
        <x:v>2.8100000000000001</x:v>
      </x:c>
      <x:c r="G31" s="1" t="b">
        <x:v>0</x:v>
      </x:c>
      <x:c r="H31" s="1">
        <x:f>IF(H27*1.4&lt;=1,H27*1.4,1)</x:f>
        <x:v>0.13439999999999999</x:v>
      </x:c>
      <x:c r="I31" s="1">
        <x:f>ROUND(I27*1.5,2)</x:f>
        <x:v>0.089999999999999991</x:v>
      </x:c>
      <x:c r="J31" s="1">
        <x:f t="shared" si="9"/>
        <x:v>0</x:v>
      </x:c>
      <x:c r="K31" s="1">
        <x:v>0</x:v>
      </x:c>
      <x:c r="L31" s="1" t="str">
        <x:f t="shared" si="11"/>
        <x:v>Target</x:v>
      </x:c>
      <x:c r="M31" s="1" t="str">
        <x:f t="shared" si="8"/>
        <x:v>Enemy</x:v>
      </x:c>
      <x:c r="N31" s="1" t="s">
        <x:v>35</x:v>
      </x:c>
      <x:c r="O31" s="1" t="s">
        <x:v>35</x:v>
      </x:c>
      <x:c r="P31" s="1">
        <x:v>15</x:v>
      </x:c>
      <x:c r="Q31" s="1">
        <x:v>0</x:v>
      </x:c>
      <x:c r="R31" s="1">
        <x:f t="shared" si="1"/>
        <x:v>2202</x:v>
      </x:c>
    </x:row>
    <x:row r="32" spans="1:18">
      <x:c r="A32" s="1">
        <x:f t="shared" si="10"/>
        <x:v>3302</x:v>
      </x:c>
      <x:c r="B32" s="1" t="str">
        <x:f>B24</x:f>
        <x:v>(함정) 활 타워</x:v>
      </x:c>
      <x:c r="C32" s="1">
        <x:v>1</x:v>
      </x:c>
      <x:c r="D32" s="1">
        <x:f>ROUND(D28*2.5,2)</x:f>
        <x:v>40</x:v>
      </x:c>
      <x:c r="E32" s="1">
        <x:f>ROUND(E28,2)</x:f>
        <x:v>2.75</x:v>
      </x:c>
      <x:c r="F32" s="1">
        <x:f>ROUND(F28*2.2,2)</x:f>
        <x:v>0.070000000000000007</x:v>
      </x:c>
      <x:c r="G32" s="1" t="b">
        <x:v>0</x:v>
      </x:c>
      <x:c r="H32" s="1">
        <x:v>0</x:v>
      </x:c>
      <x:c r="I32" s="1">
        <x:v>0</x:v>
      </x:c>
      <x:c r="J32" s="1">
        <x:f t="shared" si="9"/>
        <x:v>30</x:v>
      </x:c>
      <x:c r="K32" s="1">
        <x:v>0</x:v>
      </x:c>
      <x:c r="L32" s="1" t="str">
        <x:f t="shared" si="11"/>
        <x:v>Trap</x:v>
      </x:c>
      <x:c r="M32" s="1" t="str">
        <x:f t="shared" si="8"/>
        <x:v>Enemy</x:v>
      </x:c>
      <x:c r="N32" s="1" t="s">
        <x:v>35</x:v>
      </x:c>
      <x:c r="O32" s="1" t="s">
        <x:v>35</x:v>
      </x:c>
      <x:c r="P32" s="1">
        <x:v>1</x:v>
      </x:c>
      <x:c r="Q32" s="1">
        <x:f>Q24*1.5</x:f>
        <x:v>2.25</x:v>
      </x:c>
      <x:c r="R32" s="1">
        <x:f t="shared" si="1"/>
        <x:v>2302</x:v>
      </x:c>
    </x:row>
    <x:row r="33" spans="1:18">
      <x:c r="A33" s="1">
        <x:f t="shared" si="10"/>
        <x:v>3402</x:v>
      </x:c>
      <x:c r="B33" s="1" t="str">
        <x:f>B25</x:f>
        <x:v>(버프) 활 타워</x:v>
      </x:c>
      <x:c r="C33" s="1">
        <x:v>1</x:v>
      </x:c>
      <x:c r="D33" s="1">
        <x:v>0</x:v>
      </x:c>
      <x:c r="E33" s="1">
        <x:f>E29+1</x:f>
        <x:v>2</x:v>
      </x:c>
      <x:c r="F33" s="1">
        <x:v>1</x:v>
      </x:c>
      <x:c r="G33" s="1" t="b">
        <x:v>0</x:v>
      </x:c>
      <x:c r="H33" s="1">
        <x:v>0</x:v>
      </x:c>
      <x:c r="I33" s="1">
        <x:v>0</x:v>
      </x:c>
      <x:c r="J33" s="1">
        <x:f t="shared" si="9"/>
        <x:v>1</x:v>
      </x:c>
      <x:c r="K33" s="1">
        <x:f>IF(L33="Buff",2,60)</x:f>
        <x:v>2</x:v>
      </x:c>
      <x:c r="L33" s="1" t="str">
        <x:f t="shared" si="11"/>
        <x:v>Buff</x:v>
      </x:c>
      <x:c r="M33" s="1" t="str">
        <x:f t="shared" si="8"/>
        <x:v>Tower</x:v>
      </x:c>
      <x:c r="N33" s="1" t="str">
        <x:f>N29</x:f>
        <x:v>Range</x:v>
      </x:c>
      <x:c r="O33" s="1" t="str">
        <x:f>O29</x:f>
        <x:v>None</x:v>
      </x:c>
      <x:c r="P33" s="1">
        <x:v>1</x:v>
      </x:c>
      <x:c r="Q33" s="1">
        <x:v>0</x:v>
      </x:c>
      <x:c r="R33" s="1">
        <x:f t="shared" si="1"/>
        <x:v>2402</x:v>
      </x:c>
    </x:row>
    <x:row r="34" spans="1:18">
      <x:c r="A34" s="1">
        <x:f t="shared" si="10"/>
        <x:v>4102</x:v>
      </x:c>
      <x:c r="B34" s="1" t="str">
        <x:f>B22</x:f>
        <x:v>(광역) 활 타워</x:v>
      </x:c>
      <x:c r="C34" s="1">
        <x:v>1</x:v>
      </x:c>
      <x:c r="D34" s="1">
        <x:f>ROUND(D30*3,2)</x:f>
        <x:v>18.84</x:v>
      </x:c>
      <x:c r="E34" s="1">
        <x:f>ROUND(E30*1.1,2)</x:f>
        <x:v>3.0299999999999998</x:v>
      </x:c>
      <x:c r="F34" s="1">
        <x:f>ROUND(F30*2.5,2)</x:f>
        <x:v>4.0800000000000001</x:v>
      </x:c>
      <x:c r="G34" s="1" t="b">
        <x:v>0</x:v>
      </x:c>
      <x:c r="H34" s="1">
        <x:f>IF(H30*1.6&lt;=1,H30*1.6,1)</x:f>
        <x:v>0.13439999999999999</x:v>
      </x:c>
      <x:c r="I34" s="1">
        <x:f>ROUND(I30*2,2)</x:f>
        <x:v>0.34000000000000002</x:v>
      </x:c>
      <x:c r="J34" s="1">
        <x:f>ROUND(J22*3,2)</x:f>
        <x:v>1.5</x:v>
      </x:c>
      <x:c r="K34" s="1">
        <x:v>150</x:v>
      </x:c>
      <x:c r="L34" s="1" t="str">
        <x:f t="shared" si="11"/>
        <x:v>Splash</x:v>
      </x:c>
      <x:c r="M34" s="1" t="str">
        <x:f t="shared" si="8"/>
        <x:v>Enemy</x:v>
      </x:c>
      <x:c r="N34" s="1" t="s">
        <x:v>35</x:v>
      </x:c>
      <x:c r="O34" s="1" t="s">
        <x:v>35</x:v>
      </x:c>
      <x:c r="P34" s="1">
        <x:v>10</x:v>
      </x:c>
      <x:c r="Q34" s="1">
        <x:f>Q22*2</x:f>
        <x:v>4</x:v>
      </x:c>
      <x:c r="R34" s="1">
        <x:f t="shared" si="1"/>
        <x:v>3102</x:v>
      </x:c>
    </x:row>
    <x:row r="35" spans="1:18">
      <x:c r="A35" s="1">
        <x:f t="shared" si="10"/>
        <x:v>4202</x:v>
      </x:c>
      <x:c r="B35" s="1" t="str">
        <x:f>B23</x:f>
        <x:v>(단일) 활 타워</x:v>
      </x:c>
      <x:c r="C35" s="1">
        <x:v>1</x:v>
      </x:c>
      <x:c r="D35" s="1">
        <x:f>ROUND(D31*3,2)</x:f>
        <x:v>13.08</x:v>
      </x:c>
      <x:c r="E35" s="1">
        <x:f>ROUND(E31*1.1,2)</x:f>
        <x:v>3.0299999999999998</x:v>
      </x:c>
      <x:c r="F35" s="1">
        <x:f>ROUND(F31*2.75,2)</x:f>
        <x:v>7.7300000000000004</x:v>
      </x:c>
      <x:c r="G35" s="1" t="b">
        <x:v>0</x:v>
      </x:c>
      <x:c r="H35" s="1">
        <x:f>IF(H31*1.6&lt;=1,H31*1.6,1)</x:f>
        <x:v>0.21504000000000001</x:v>
      </x:c>
      <x:c r="I35" s="1">
        <x:f>ROUND(I31*2,2)</x:f>
        <x:v>0.17999999999999999</x:v>
      </x:c>
      <x:c r="J35" s="1">
        <x:f t="shared" si="9"/>
        <x:v>0</x:v>
      </x:c>
      <x:c r="K35" s="1">
        <x:v>0</x:v>
      </x:c>
      <x:c r="L35" s="1" t="str">
        <x:f t="shared" si="11"/>
        <x:v>Target</x:v>
      </x:c>
      <x:c r="M35" s="1" t="str">
        <x:f t="shared" si="8"/>
        <x:v>Enemy</x:v>
      </x:c>
      <x:c r="N35" s="1" t="s">
        <x:v>35</x:v>
      </x:c>
      <x:c r="O35" s="1" t="s">
        <x:v>35</x:v>
      </x:c>
      <x:c r="P35" s="1">
        <x:v>15</x:v>
      </x:c>
      <x:c r="Q35" s="1">
        <x:v>0</x:v>
      </x:c>
      <x:c r="R35" s="1">
        <x:f t="shared" si="1"/>
        <x:v>3202</x:v>
      </x:c>
    </x:row>
    <x:row r="36" spans="1:18">
      <x:c r="A36" s="1">
        <x:f t="shared" si="10"/>
        <x:v>4302</x:v>
      </x:c>
      <x:c r="B36" s="1" t="str">
        <x:f>B24</x:f>
        <x:v>(함정) 활 타워</x:v>
      </x:c>
      <x:c r="C36" s="1">
        <x:v>1</x:v>
      </x:c>
      <x:c r="D36" s="1">
        <x:f>ROUND(D32*3,2)</x:f>
        <x:v>120</x:v>
      </x:c>
      <x:c r="E36" s="1">
        <x:f>ROUND(E32*1.1,2)</x:f>
        <x:v>3.0299999999999998</x:v>
      </x:c>
      <x:c r="F36" s="1">
        <x:f>ROUND(F32*2.5,2)</x:f>
        <x:v>0.17999999999999999</x:v>
      </x:c>
      <x:c r="G36" s="1" t="b">
        <x:v>0</x:v>
      </x:c>
      <x:c r="H36" s="1">
        <x:v>0</x:v>
      </x:c>
      <x:c r="I36" s="1">
        <x:v>0</x:v>
      </x:c>
      <x:c r="J36" s="1">
        <x:f t="shared" si="9"/>
        <x:v>30</x:v>
      </x:c>
      <x:c r="K36" s="1">
        <x:v>0</x:v>
      </x:c>
      <x:c r="L36" s="1" t="str">
        <x:f t="shared" si="11"/>
        <x:v>Trap</x:v>
      </x:c>
      <x:c r="M36" s="1" t="str">
        <x:f t="shared" si="8"/>
        <x:v>Enemy</x:v>
      </x:c>
      <x:c r="N36" s="1" t="s">
        <x:v>35</x:v>
      </x:c>
      <x:c r="O36" s="1" t="s">
        <x:v>35</x:v>
      </x:c>
      <x:c r="P36" s="1">
        <x:v>1</x:v>
      </x:c>
      <x:c r="Q36" s="1">
        <x:f>Q24*2</x:f>
        <x:v>3</x:v>
      </x:c>
      <x:c r="R36" s="1">
        <x:f t="shared" si="1"/>
        <x:v>3302</x:v>
      </x:c>
    </x:row>
    <x:row r="37" spans="1:18">
      <x:c r="A37" s="1">
        <x:f t="shared" si="10"/>
        <x:v>4402</x:v>
      </x:c>
      <x:c r="B37" s="1" t="str">
        <x:f>B25</x:f>
        <x:v>(버프) 활 타워</x:v>
      </x:c>
      <x:c r="C37" s="1">
        <x:v>1</x:v>
      </x:c>
      <x:c r="D37" s="1">
        <x:v>0</x:v>
      </x:c>
      <x:c r="E37" s="1">
        <x:f>E33+2</x:f>
        <x:v>4</x:v>
      </x:c>
      <x:c r="F37" s="1">
        <x:v>1</x:v>
      </x:c>
      <x:c r="G37" s="1" t="b">
        <x:v>0</x:v>
      </x:c>
      <x:c r="H37" s="1">
        <x:v>0</x:v>
      </x:c>
      <x:c r="I37" s="1">
        <x:v>0</x:v>
      </x:c>
      <x:c r="J37" s="1">
        <x:f t="shared" si="9"/>
        <x:v>1</x:v>
      </x:c>
      <x:c r="K37" s="1">
        <x:f>IF(L37="Buff",3,150)</x:f>
        <x:v>3</x:v>
      </x:c>
      <x:c r="L37" s="1" t="str">
        <x:f t="shared" si="11"/>
        <x:v>Buff</x:v>
      </x:c>
      <x:c r="M37" s="1" t="str">
        <x:f t="shared" si="8"/>
        <x:v>Tower</x:v>
      </x:c>
      <x:c r="N37" s="1" t="str">
        <x:f>N33</x:f>
        <x:v>Range</x:v>
      </x:c>
      <x:c r="O37" s="1" t="str">
        <x:f>O33</x:f>
        <x:v>None</x:v>
      </x:c>
      <x:c r="P37" s="1">
        <x:v>1</x:v>
      </x:c>
      <x:c r="Q37" s="1">
        <x:v>0</x:v>
      </x:c>
      <x:c r="R37" s="1">
        <x:f t="shared" si="1"/>
        <x:v>3402</x:v>
      </x:c>
    </x:row>
    <x:row r="38" spans="1:18">
      <x:c r="A38" s="1">
        <x:f t="shared" si="10"/>
        <x:v>5102</x:v>
      </x:c>
      <x:c r="B38" s="1" t="str">
        <x:f>B22</x:f>
        <x:v>(광역) 활 타워</x:v>
      </x:c>
      <x:c r="C38" s="1">
        <x:v>1</x:v>
      </x:c>
      <x:c r="D38" s="1">
        <x:f>ROUND(D34*4.2,2)</x:f>
        <x:v>79.129999999999995</x:v>
      </x:c>
      <x:c r="E38" s="1">
        <x:f>ROUND(E34*1.25,2)</x:f>
        <x:v>3.79</x:v>
      </x:c>
      <x:c r="F38" s="1">
        <x:f>ROUND(F34*3,2)</x:f>
        <x:v>12.24</x:v>
      </x:c>
      <x:c r="G38" s="1" t="b">
        <x:v>0</x:v>
      </x:c>
      <x:c r="H38" s="1">
        <x:f>IF(H34*1.8&lt;=1,H34*1.8,1)</x:f>
        <x:v>0.24192</x:v>
      </x:c>
      <x:c r="I38" s="1">
        <x:f>ROUND(I34*2.8,2)</x:f>
        <x:v>0.94999999999999996</x:v>
      </x:c>
      <x:c r="J38" s="1">
        <x:f>ROUND(J22*5,2)</x:f>
        <x:v>2.5</x:v>
      </x:c>
      <x:c r="K38" s="1">
        <x:v>525</x:v>
      </x:c>
      <x:c r="L38" s="1" t="str">
        <x:f t="shared" si="11"/>
        <x:v>Splash</x:v>
      </x:c>
      <x:c r="M38" s="1" t="str">
        <x:f t="shared" si="8"/>
        <x:v>Enemy</x:v>
      </x:c>
      <x:c r="N38" s="1" t="s">
        <x:v>35</x:v>
      </x:c>
      <x:c r="O38" s="1" t="s">
        <x:v>35</x:v>
      </x:c>
      <x:c r="P38" s="1">
        <x:v>10</x:v>
      </x:c>
      <x:c r="Q38" s="1">
        <x:f>Q22*3</x:f>
        <x:v>6</x:v>
      </x:c>
      <x:c r="R38" s="1">
        <x:f t="shared" si="1"/>
        <x:v>4102</x:v>
      </x:c>
    </x:row>
    <x:row r="39" spans="1:18">
      <x:c r="A39" s="1">
        <x:f t="shared" si="10"/>
        <x:v>5202</x:v>
      </x:c>
      <x:c r="B39" s="1" t="str">
        <x:f>B23</x:f>
        <x:v>(단일) 활 타워</x:v>
      </x:c>
      <x:c r="C39" s="1">
        <x:v>1</x:v>
      </x:c>
      <x:c r="D39" s="1">
        <x:f>ROUND(D35*5,2)</x:f>
        <x:v>65.400000000000006</x:v>
      </x:c>
      <x:c r="E39" s="1">
        <x:f t="shared" ref="E39:E40" si="12">ROUND(E35*1.25,2)</x:f>
        <x:v>3.79</x:v>
      </x:c>
      <x:c r="F39" s="1">
        <x:f>ROUND(F35*4,2)</x:f>
        <x:v>30.920000000000002</x:v>
      </x:c>
      <x:c r="G39" s="1" t="b">
        <x:v>0</x:v>
      </x:c>
      <x:c r="H39" s="1">
        <x:f>IF(H35*1.8&lt;=1,H35*1.8,1)</x:f>
        <x:v>0.38707200000000003</x:v>
      </x:c>
      <x:c r="I39" s="1">
        <x:f>ROUND(I35*2.8,2)</x:f>
        <x:v>0.5</x:v>
      </x:c>
      <x:c r="J39" s="1">
        <x:f t="shared" si="9"/>
        <x:v>0</x:v>
      </x:c>
      <x:c r="K39" s="1">
        <x:v>0</x:v>
      </x:c>
      <x:c r="L39" s="1" t="str">
        <x:f t="shared" si="11"/>
        <x:v>Target</x:v>
      </x:c>
      <x:c r="M39" s="1" t="str">
        <x:f t="shared" si="8"/>
        <x:v>Enemy</x:v>
      </x:c>
      <x:c r="N39" s="1" t="s">
        <x:v>35</x:v>
      </x:c>
      <x:c r="O39" s="1" t="s">
        <x:v>35</x:v>
      </x:c>
      <x:c r="P39" s="1">
        <x:v>15</x:v>
      </x:c>
      <x:c r="Q39" s="1">
        <x:v>0</x:v>
      </x:c>
      <x:c r="R39" s="1">
        <x:f t="shared" si="1"/>
        <x:v>4202</x:v>
      </x:c>
    </x:row>
    <x:row r="40" spans="1:18">
      <x:c r="A40" s="1">
        <x:f t="shared" si="10"/>
        <x:v>5302</x:v>
      </x:c>
      <x:c r="B40" s="1" t="str">
        <x:f>B24</x:f>
        <x:v>(함정) 활 타워</x:v>
      </x:c>
      <x:c r="C40" s="1">
        <x:v>1</x:v>
      </x:c>
      <x:c r="D40" s="1">
        <x:f>ROUND(D36*5,2)</x:f>
        <x:v>600</x:v>
      </x:c>
      <x:c r="E40" s="1">
        <x:f t="shared" si="12"/>
        <x:v>3.79</x:v>
      </x:c>
      <x:c r="F40" s="1">
        <x:f>ROUND(F36*3,2)</x:f>
        <x:v>0.54000000000000004</x:v>
      </x:c>
      <x:c r="G40" s="1" t="b">
        <x:v>0</x:v>
      </x:c>
      <x:c r="H40" s="1">
        <x:v>0</x:v>
      </x:c>
      <x:c r="I40" s="1">
        <x:v>0</x:v>
      </x:c>
      <x:c r="J40" s="1">
        <x:f t="shared" si="9"/>
        <x:v>30</x:v>
      </x:c>
      <x:c r="K40" s="1">
        <x:v>0</x:v>
      </x:c>
      <x:c r="L40" s="1" t="str">
        <x:f t="shared" si="11"/>
        <x:v>Trap</x:v>
      </x:c>
      <x:c r="M40" s="1" t="str">
        <x:f t="shared" si="8"/>
        <x:v>Enemy</x:v>
      </x:c>
      <x:c r="N40" s="1" t="s">
        <x:v>35</x:v>
      </x:c>
      <x:c r="O40" s="1" t="s">
        <x:v>35</x:v>
      </x:c>
      <x:c r="P40" s="1">
        <x:v>1</x:v>
      </x:c>
      <x:c r="Q40" s="1">
        <x:f>Q24*3</x:f>
        <x:v>4.5</x:v>
      </x:c>
      <x:c r="R40" s="1">
        <x:f t="shared" si="1"/>
        <x:v>4302</x:v>
      </x:c>
    </x:row>
    <x:row r="41" spans="1:18">
      <x:c r="A41" s="1">
        <x:f t="shared" si="10"/>
        <x:v>5402</x:v>
      </x:c>
      <x:c r="B41" s="1" t="str">
        <x:f>B25</x:f>
        <x:v>(버프) 활 타워</x:v>
      </x:c>
      <x:c r="C41" s="1">
        <x:v>1</x:v>
      </x:c>
      <x:c r="D41" s="1">
        <x:v>0</x:v>
      </x:c>
      <x:c r="E41" s="1">
        <x:f>E37+3</x:f>
        <x:v>7</x:v>
      </x:c>
      <x:c r="F41" s="1">
        <x:v>1</x:v>
      </x:c>
      <x:c r="G41" s="1" t="b">
        <x:v>0</x:v>
      </x:c>
      <x:c r="H41" s="1">
        <x:v>0</x:v>
      </x:c>
      <x:c r="I41" s="1">
        <x:v>0</x:v>
      </x:c>
      <x:c r="J41" s="1">
        <x:f t="shared" si="9"/>
        <x:v>1</x:v>
      </x:c>
      <x:c r="K41" s="1">
        <x:f>IF(L41="Buff",5,525)</x:f>
        <x:v>5</x:v>
      </x:c>
      <x:c r="L41" s="1" t="str">
        <x:f t="shared" si="11"/>
        <x:v>Buff</x:v>
      </x:c>
      <x:c r="M41" s="1" t="str">
        <x:f t="shared" si="8"/>
        <x:v>Tower</x:v>
      </x:c>
      <x:c r="N41" s="1" t="str">
        <x:f>N37</x:f>
        <x:v>Range</x:v>
      </x:c>
      <x:c r="O41" s="1" t="str">
        <x:f>O37</x:f>
        <x:v>None</x:v>
      </x:c>
      <x:c r="P41" s="1">
        <x:v>1</x:v>
      </x:c>
      <x:c r="Q41" s="1">
        <x:v>0</x:v>
      </x:c>
      <x:c r="R41" s="1">
        <x:f t="shared" si="1"/>
        <x:v>4402</x:v>
      </x:c>
    </x:row>
    <x:row r="42" spans="1:18">
      <x:c r="A42" s="1">
        <x:v>1103</x:v>
      </x:c>
      <x:c r="B42" s="1" t="s">
        <x:v>44</x:v>
      </x:c>
      <x:c r="C42" s="1">
        <x:v>1</x:v>
      </x:c>
      <x:c r="D42" s="1">
        <x:v>1.1000000000000001</x:v>
      </x:c>
      <x:c r="E42" s="1">
        <x:v>2</x:v>
      </x:c>
      <x:c r="F42" s="1">
        <x:v>0.14999999999999999</x:v>
      </x:c>
      <x:c r="G42" s="1" t="b">
        <x:v>0</x:v>
      </x:c>
      <x:c r="H42" s="1">
        <x:v>0.05</x:v>
      </x:c>
      <x:c r="I42" s="1">
        <x:v>0.10000000000000001</x:v>
      </x:c>
      <x:c r="J42" s="1">
        <x:v>0.10000000000000001</x:v>
      </x:c>
      <x:c r="K42" s="1">
        <x:v>8.6957000000000004</x:v>
      </x:c>
      <x:c r="L42" s="1" t="s">
        <x:v>29</x:v>
      </x:c>
      <x:c r="M42" s="1" t="str">
        <x:f t="shared" ref="M42:M44" si="13">IF(L42="Buff","Tower","Enemy")</x:f>
        <x:v>Enemy</x:v>
      </x:c>
      <x:c r="N42" s="1" t="s">
        <x:v>35</x:v>
      </x:c>
      <x:c r="O42" s="1" t="s">
        <x:v>30</x:v>
      </x:c>
      <x:c r="P42" s="1">
        <x:v>10</x:v>
      </x:c>
      <x:c r="Q42" s="1">
        <x:v>2</x:v>
      </x:c>
      <x:c r="R42" s="1">
        <x:f t="shared" si="1"/>
        <x:v>103</x:v>
      </x:c>
    </x:row>
    <x:row r="43" spans="1:18">
      <x:c r="A43" s="1">
        <x:f>A42+100</x:f>
        <x:v>1203</x:v>
      </x:c>
      <x:c r="B43" s="1" t="s">
        <x:v>65</x:v>
      </x:c>
      <x:c r="C43" s="1">
        <x:v>1</x:v>
      </x:c>
      <x:c r="D43" s="1">
        <x:v>2.3999999999999999</x:v>
      </x:c>
      <x:c r="E43" s="1">
        <x:v>2</x:v>
      </x:c>
      <x:c r="F43" s="1">
        <x:v>0.28000000000000003</x:v>
      </x:c>
      <x:c r="G43" s="1" t="b">
        <x:v>0</x:v>
      </x:c>
      <x:c r="H43" s="1">
        <x:v>0.070000000000000007</x:v>
      </x:c>
      <x:c r="I43" s="1">
        <x:v>0.089999999999999991</x:v>
      </x:c>
      <x:c r="J43" s="1">
        <x:v>0</x:v>
      </x:c>
      <x:c r="K43" s="1">
        <x:v>0</x:v>
      </x:c>
      <x:c r="L43" s="1" t="s">
        <x:v>26</x:v>
      </x:c>
      <x:c r="M43" s="1" t="str">
        <x:f t="shared" si="13"/>
        <x:v>Enemy</x:v>
      </x:c>
      <x:c r="N43" s="1" t="s">
        <x:v>35</x:v>
      </x:c>
      <x:c r="O43" s="1" t="s">
        <x:v>35</x:v>
      </x:c>
      <x:c r="P43" s="1">
        <x:v>15</x:v>
      </x:c>
      <x:c r="Q43" s="1">
        <x:v>0</x:v>
      </x:c>
      <x:c r="R43" s="1">
        <x:f t="shared" si="1"/>
        <x:v>203</x:v>
      </x:c>
    </x:row>
    <x:row r="44" spans="1:18">
      <x:c r="A44" s="1">
        <x:f>A42+200</x:f>
        <x:v>1303</x:v>
      </x:c>
      <x:c r="B44" s="1" t="s">
        <x:v>61</x:v>
      </x:c>
      <x:c r="C44" s="1">
        <x:v>1</x:v>
      </x:c>
      <x:c r="D44" s="1">
        <x:v>0</x:v>
      </x:c>
      <x:c r="E44" s="1">
        <x:v>2</x:v>
      </x:c>
      <x:c r="F44" s="1">
        <x:v>0.005</x:v>
      </x:c>
      <x:c r="G44" s="1" t="b">
        <x:v>0</x:v>
      </x:c>
      <x:c r="H44" s="1">
        <x:v>0</x:v>
      </x:c>
      <x:c r="I44" s="1">
        <x:v>0</x:v>
      </x:c>
      <x:c r="J44" s="1">
        <x:v>5</x:v>
      </x:c>
      <x:c r="K44" s="1">
        <x:v>0</x:v>
      </x:c>
      <x:c r="L44" s="1" t="s">
        <x:v>42</x:v>
      </x:c>
      <x:c r="M44" s="1" t="str">
        <x:f t="shared" si="13"/>
        <x:v>Enemy</x:v>
      </x:c>
      <x:c r="N44" s="1" t="s">
        <x:v>35</x:v>
      </x:c>
      <x:c r="O44" s="1" t="s">
        <x:v>35</x:v>
      </x:c>
      <x:c r="P44" s="1">
        <x:v>1</x:v>
      </x:c>
      <x:c r="Q44" s="1">
        <x:v>1.5</x:v>
      </x:c>
      <x:c r="R44" s="1">
        <x:f t="shared" si="1"/>
        <x:v>303</x:v>
      </x:c>
    </x:row>
    <x:row r="45" spans="1:18">
      <x:c r="A45" s="1">
        <x:f>A42+300</x:f>
        <x:v>1403</x:v>
      </x:c>
      <x:c r="B45" s="1" t="s">
        <x:v>56</x:v>
      </x:c>
      <x:c r="C45" s="1">
        <x:v>1</x:v>
      </x:c>
      <x:c r="D45" s="1">
        <x:v>0</x:v>
      </x:c>
      <x:c r="E45" s="1">
        <x:v>3</x:v>
      </x:c>
      <x:c r="F45" s="1">
        <x:v>1</x:v>
      </x:c>
      <x:c r="G45" s="1" t="b">
        <x:v>0</x:v>
      </x:c>
      <x:c r="H45" s="1">
        <x:v>0</x:v>
      </x:c>
      <x:c r="I45" s="1">
        <x:v>0</x:v>
      </x:c>
      <x:c r="J45" s="1">
        <x:v>1</x:v>
      </x:c>
      <x:c r="K45" s="1">
        <x:f>IF(L45="Buff",1.2,8.6957)</x:f>
        <x:v>8.6957000000000004</x:v>
      </x:c>
      <x:c r="L45" s="1" t="s">
        <x:v>40</x:v>
      </x:c>
      <x:c r="M45" s="1" t="str">
        <x:f>IF(L45="Buff","Tower","Enemy")</x:f>
        <x:v>Enemy</x:v>
      </x:c>
      <x:c r="N45" s="1" t="s">
        <x:v>35</x:v>
      </x:c>
      <x:c r="O45" s="1" t="s">
        <x:v>38</x:v>
      </x:c>
      <x:c r="P45" s="1">
        <x:v>1</x:v>
      </x:c>
      <x:c r="Q45" s="1">
        <x:v>0</x:v>
      </x:c>
      <x:c r="R45" s="1">
        <x:f t="shared" si="1"/>
        <x:v>403</x:v>
      </x:c>
    </x:row>
    <x:row r="46" spans="1:18">
      <x:c r="A46" s="1">
        <x:f>A42+1000</x:f>
        <x:v>2103</x:v>
      </x:c>
      <x:c r="B46" s="1" t="str">
        <x:f>B42</x:f>
        <x:v>(광역) 방패 타워</x:v>
      </x:c>
      <x:c r="C46" s="1">
        <x:v>1</x:v>
      </x:c>
      <x:c r="D46" s="1">
        <x:f>ROUND(D42*1.8,2)</x:f>
        <x:v>1.98</x:v>
      </x:c>
      <x:c r="E46" s="1">
        <x:f>ROUND(E42,2)</x:f>
        <x:v>2</x:v>
      </x:c>
      <x:c r="F46" s="1">
        <x:f>ROUND(F42*2.1,2)</x:f>
        <x:v>0.32000000000000001</x:v>
      </x:c>
      <x:c r="G46" s="1" t="b">
        <x:v>0</x:v>
      </x:c>
      <x:c r="H46" s="1">
        <x:f>IF(H42*1.2&lt;=1,H42*1.2,1)</x:f>
        <x:v>0.059999999999999998</x:v>
      </x:c>
      <x:c r="I46" s="1">
        <x:f>ROUND(I42*1.2,2)</x:f>
        <x:v>0.12</x:v>
      </x:c>
      <x:c r="J46" s="1">
        <x:f>ROUND(J42*1.5,2)</x:f>
        <x:v>0.14999999999999999</x:v>
      </x:c>
      <x:c r="K46" s="1">
        <x:v>25</x:v>
      </x:c>
      <x:c r="L46" s="1" t="str">
        <x:f>L42</x:f>
        <x:v>Splash</x:v>
      </x:c>
      <x:c r="M46" s="1" t="str">
        <x:f t="shared" ref="M46:M61" si="14">IF(L46="Buff","Tower","Enemy")</x:f>
        <x:v>Enemy</x:v>
      </x:c>
      <x:c r="N46" s="1" t="s">
        <x:v>35</x:v>
      </x:c>
      <x:c r="O46" s="1" t="str">
        <x:f>O42</x:f>
        <x:v>Stun</x:v>
      </x:c>
      <x:c r="P46" s="1">
        <x:v>10</x:v>
      </x:c>
      <x:c r="Q46" s="1">
        <x:f>Q42</x:f>
        <x:v>2</x:v>
      </x:c>
      <x:c r="R46" s="1">
        <x:f t="shared" si="1"/>
        <x:v>1103</x:v>
      </x:c>
    </x:row>
    <x:row r="47" spans="1:18">
      <x:c r="A47" s="1">
        <x:f>A43+1000</x:f>
        <x:v>2203</x:v>
      </x:c>
      <x:c r="B47" s="1" t="str">
        <x:f>B43</x:f>
        <x:v>(단일) 방패 타워</x:v>
      </x:c>
      <x:c r="C47" s="1">
        <x:v>1</x:v>
      </x:c>
      <x:c r="D47" s="1">
        <x:f>ROUND(D43*1.7,2)</x:f>
        <x:v>4.0800000000000001</x:v>
      </x:c>
      <x:c r="E47" s="1">
        <x:f>ROUND(E43,2)</x:f>
        <x:v>2</x:v>
      </x:c>
      <x:c r="F47" s="1">
        <x:f>ROUND(F43*2.2,2)</x:f>
        <x:v>0.62</x:v>
      </x:c>
      <x:c r="G47" s="1" t="b">
        <x:v>0</x:v>
      </x:c>
      <x:c r="H47" s="1">
        <x:f>IF(H43*1.2&lt;=1,H43*1.2,1)</x:f>
        <x:v>0.084000000000000008</x:v>
      </x:c>
      <x:c r="I47" s="1">
        <x:f>ROUND(I43*1.2,2)</x:f>
        <x:v>0.11</x:v>
      </x:c>
      <x:c r="J47" s="1">
        <x:f t="shared" ref="J47:J61" si="15">J43</x:f>
        <x:v>0</x:v>
      </x:c>
      <x:c r="K47" s="1">
        <x:v>0</x:v>
      </x:c>
      <x:c r="L47" s="1" t="str">
        <x:f>L43</x:f>
        <x:v>Target</x:v>
      </x:c>
      <x:c r="M47" s="1" t="str">
        <x:f t="shared" si="14"/>
        <x:v>Enemy</x:v>
      </x:c>
      <x:c r="N47" s="1" t="s">
        <x:v>35</x:v>
      </x:c>
      <x:c r="O47" s="1" t="s">
        <x:v>35</x:v>
      </x:c>
      <x:c r="P47" s="1">
        <x:v>15</x:v>
      </x:c>
      <x:c r="Q47" s="1">
        <x:v>0</x:v>
      </x:c>
      <x:c r="R47" s="1">
        <x:f t="shared" si="1"/>
        <x:v>1203</x:v>
      </x:c>
    </x:row>
    <x:row r="48" spans="1:18">
      <x:c r="A48" s="1">
        <x:f t="shared" ref="A48:A61" si="16">A44+1000</x:f>
        <x:v>2303</x:v>
      </x:c>
      <x:c r="B48" s="1" t="str">
        <x:f>B44</x:f>
        <x:v>(함정) 방패 타워</x:v>
      </x:c>
      <x:c r="C48" s="1">
        <x:v>1</x:v>
      </x:c>
      <x:c r="D48" s="1">
        <x:f>ROUND(D44*2,2)</x:f>
        <x:v>0</x:v>
      </x:c>
      <x:c r="E48" s="1">
        <x:f>ROUND(E44,2)</x:f>
        <x:v>2</x:v>
      </x:c>
      <x:c r="F48" s="1">
        <x:f>ROUND(F44*2.1,2)</x:f>
        <x:v>0.010000000000000001</x:v>
      </x:c>
      <x:c r="G48" s="1" t="b">
        <x:v>0</x:v>
      </x:c>
      <x:c r="H48" s="1">
        <x:v>0</x:v>
      </x:c>
      <x:c r="I48" s="1">
        <x:v>0</x:v>
      </x:c>
      <x:c r="J48" s="1">
        <x:f t="shared" si="15"/>
        <x:v>5</x:v>
      </x:c>
      <x:c r="K48" s="1">
        <x:v>0</x:v>
      </x:c>
      <x:c r="L48" s="1" t="str">
        <x:f>L44</x:f>
        <x:v>Trap</x:v>
      </x:c>
      <x:c r="M48" s="1" t="str">
        <x:f t="shared" si="14"/>
        <x:v>Enemy</x:v>
      </x:c>
      <x:c r="N48" s="1" t="s">
        <x:v>35</x:v>
      </x:c>
      <x:c r="O48" s="1" t="s">
        <x:v>35</x:v>
      </x:c>
      <x:c r="P48" s="1">
        <x:v>1</x:v>
      </x:c>
      <x:c r="Q48" s="1">
        <x:f>Q44</x:f>
        <x:v>1.5</x:v>
      </x:c>
      <x:c r="R48" s="1">
        <x:f t="shared" si="1"/>
        <x:v>1303</x:v>
      </x:c>
    </x:row>
    <x:row r="49" spans="1:18">
      <x:c r="A49" s="1">
        <x:f t="shared" si="16"/>
        <x:v>2403</x:v>
      </x:c>
      <x:c r="B49" s="1" t="str">
        <x:f>B45</x:f>
        <x:v>(버프) 방패 타워</x:v>
      </x:c>
      <x:c r="C49" s="1">
        <x:v>1</x:v>
      </x:c>
      <x:c r="D49" s="1">
        <x:v>0</x:v>
      </x:c>
      <x:c r="E49" s="1">
        <x:f>E45+0</x:f>
        <x:v>3</x:v>
      </x:c>
      <x:c r="F49" s="1">
        <x:v>1</x:v>
      </x:c>
      <x:c r="G49" s="1" t="b">
        <x:v>0</x:v>
      </x:c>
      <x:c r="H49" s="1">
        <x:v>0</x:v>
      </x:c>
      <x:c r="I49" s="1">
        <x:v>0</x:v>
      </x:c>
      <x:c r="J49" s="1">
        <x:f t="shared" si="15"/>
        <x:v>1</x:v>
      </x:c>
      <x:c r="K49" s="1">
        <x:f>IF(L49="Buff",1.4,25)</x:f>
        <x:v>25</x:v>
      </x:c>
      <x:c r="L49" s="1" t="str">
        <x:f>L45</x:f>
        <x:v>Debuff</x:v>
      </x:c>
      <x:c r="M49" s="1" t="str">
        <x:f t="shared" si="14"/>
        <x:v>Enemy</x:v>
      </x:c>
      <x:c r="N49" s="1" t="str">
        <x:f>N45</x:f>
        <x:v>None</x:v>
      </x:c>
      <x:c r="O49" s="1" t="str">
        <x:f>O45</x:f>
        <x:v>Defense</x:v>
      </x:c>
      <x:c r="P49" s="1">
        <x:v>1</x:v>
      </x:c>
      <x:c r="Q49" s="1">
        <x:v>0</x:v>
      </x:c>
      <x:c r="R49" s="1">
        <x:f t="shared" si="1"/>
        <x:v>1403</x:v>
      </x:c>
    </x:row>
    <x:row r="50" spans="1:18">
      <x:c r="A50" s="1">
        <x:f t="shared" si="16"/>
        <x:v>3103</x:v>
      </x:c>
      <x:c r="B50" s="1" t="str">
        <x:f>B42</x:f>
        <x:v>(광역) 방패 타워</x:v>
      </x:c>
      <x:c r="C50" s="1">
        <x:v>1</x:v>
      </x:c>
      <x:c r="D50" s="1">
        <x:f>ROUND(D46*2.25,2)</x:f>
        <x:v>4.46</x:v>
      </x:c>
      <x:c r="E50" s="1">
        <x:f>ROUND(E46,2)</x:f>
        <x:v>2</x:v>
      </x:c>
      <x:c r="F50" s="1">
        <x:f>ROUND(F46*2.2,2)</x:f>
        <x:v>0.69999999999999996</x:v>
      </x:c>
      <x:c r="G50" s="1" t="b">
        <x:v>0</x:v>
      </x:c>
      <x:c r="H50" s="1">
        <x:f>IF(H46*1.4&lt;=1,H46*1.4,1)</x:f>
        <x:v>0.083999999999999986</x:v>
      </x:c>
      <x:c r="I50" s="1">
        <x:f>ROUND(I46*1.5,2)</x:f>
        <x:v>0.17999999999999999</x:v>
      </x:c>
      <x:c r="J50" s="1">
        <x:f>ROUND(J42*2,2)</x:f>
        <x:v>0.20000000000000001</x:v>
      </x:c>
      <x:c r="K50" s="1">
        <x:v>60</x:v>
      </x:c>
      <x:c r="L50" s="1" t="str">
        <x:f t="shared" ref="L50:L61" si="17">L46</x:f>
        <x:v>Splash</x:v>
      </x:c>
      <x:c r="M50" s="1" t="str">
        <x:f t="shared" si="14"/>
        <x:v>Enemy</x:v>
      </x:c>
      <x:c r="N50" s="1" t="s">
        <x:v>35</x:v>
      </x:c>
      <x:c r="O50" s="1" t="str">
        <x:f>O42</x:f>
        <x:v>Stun</x:v>
      </x:c>
      <x:c r="P50" s="1">
        <x:v>10</x:v>
      </x:c>
      <x:c r="Q50" s="1">
        <x:f>Q42*1.5</x:f>
        <x:v>3</x:v>
      </x:c>
      <x:c r="R50" s="1">
        <x:f t="shared" si="1"/>
        <x:v>2103</x:v>
      </x:c>
    </x:row>
    <x:row r="51" spans="1:18">
      <x:c r="A51" s="1">
        <x:f t="shared" si="16"/>
        <x:v>3203</x:v>
      </x:c>
      <x:c r="B51" s="1" t="str">
        <x:f>B43</x:f>
        <x:v>(단일) 방패 타워</x:v>
      </x:c>
      <x:c r="C51" s="1">
        <x:v>1</x:v>
      </x:c>
      <x:c r="D51" s="1">
        <x:f>ROUND(D47*2,2)</x:f>
        <x:v>8.1600000000000001</x:v>
      </x:c>
      <x:c r="E51" s="1">
        <x:f>ROUND(E47,2)</x:f>
        <x:v>2</x:v>
      </x:c>
      <x:c r="F51" s="1">
        <x:f>ROUND(F47*2.4,2)</x:f>
        <x:v>1.49</x:v>
      </x:c>
      <x:c r="G51" s="1" t="b">
        <x:v>0</x:v>
      </x:c>
      <x:c r="H51" s="1">
        <x:f>IF(H47*1.4&lt;=1,H47*1.4,1)</x:f>
        <x:v>0.1176</x:v>
      </x:c>
      <x:c r="I51" s="1">
        <x:f>ROUND(I47*1.5,2)</x:f>
        <x:v>0.17000000000000001</x:v>
      </x:c>
      <x:c r="J51" s="1">
        <x:f t="shared" si="15"/>
        <x:v>0</x:v>
      </x:c>
      <x:c r="K51" s="1">
        <x:v>0</x:v>
      </x:c>
      <x:c r="L51" s="1" t="str">
        <x:f t="shared" si="17"/>
        <x:v>Target</x:v>
      </x:c>
      <x:c r="M51" s="1" t="str">
        <x:f t="shared" si="14"/>
        <x:v>Enemy</x:v>
      </x:c>
      <x:c r="N51" s="1" t="s">
        <x:v>35</x:v>
      </x:c>
      <x:c r="O51" s="1" t="s">
        <x:v>35</x:v>
      </x:c>
      <x:c r="P51" s="1">
        <x:v>15</x:v>
      </x:c>
      <x:c r="Q51" s="1">
        <x:v>0</x:v>
      </x:c>
      <x:c r="R51" s="1">
        <x:f t="shared" si="1"/>
        <x:v>2203</x:v>
      </x:c>
    </x:row>
    <x:row r="52" spans="1:18">
      <x:c r="A52" s="1">
        <x:f t="shared" si="16"/>
        <x:v>3303</x:v>
      </x:c>
      <x:c r="B52" s="1" t="str">
        <x:f>B44</x:f>
        <x:v>(함정) 방패 타워</x:v>
      </x:c>
      <x:c r="C52" s="1">
        <x:v>1</x:v>
      </x:c>
      <x:c r="D52" s="1">
        <x:f>ROUND(D48*2.5,2)</x:f>
        <x:v>0</x:v>
      </x:c>
      <x:c r="E52" s="1">
        <x:f>ROUND(E48,2)</x:f>
        <x:v>2</x:v>
      </x:c>
      <x:c r="F52" s="1">
        <x:f>ROUND(F48*2.2,2)</x:f>
        <x:v>0.020000000000000001</x:v>
      </x:c>
      <x:c r="G52" s="1" t="b">
        <x:v>0</x:v>
      </x:c>
      <x:c r="H52" s="1">
        <x:v>0</x:v>
      </x:c>
      <x:c r="I52" s="1">
        <x:v>0</x:v>
      </x:c>
      <x:c r="J52" s="1">
        <x:f t="shared" si="15"/>
        <x:v>5</x:v>
      </x:c>
      <x:c r="K52" s="1">
        <x:v>0</x:v>
      </x:c>
      <x:c r="L52" s="1" t="str">
        <x:f t="shared" si="17"/>
        <x:v>Trap</x:v>
      </x:c>
      <x:c r="M52" s="1" t="str">
        <x:f t="shared" si="14"/>
        <x:v>Enemy</x:v>
      </x:c>
      <x:c r="N52" s="1" t="s">
        <x:v>35</x:v>
      </x:c>
      <x:c r="O52" s="1" t="s">
        <x:v>35</x:v>
      </x:c>
      <x:c r="P52" s="1">
        <x:v>1</x:v>
      </x:c>
      <x:c r="Q52" s="1">
        <x:f>Q44*1.5</x:f>
        <x:v>2.25</x:v>
      </x:c>
      <x:c r="R52" s="1">
        <x:f t="shared" si="1"/>
        <x:v>2303</x:v>
      </x:c>
    </x:row>
    <x:row r="53" spans="1:18">
      <x:c r="A53" s="1">
        <x:f t="shared" si="16"/>
        <x:v>3403</x:v>
      </x:c>
      <x:c r="B53" s="1" t="str">
        <x:f>B45</x:f>
        <x:v>(버프) 방패 타워</x:v>
      </x:c>
      <x:c r="C53" s="1">
        <x:v>1</x:v>
      </x:c>
      <x:c r="D53" s="1">
        <x:v>0</x:v>
      </x:c>
      <x:c r="E53" s="1">
        <x:f>E49+1</x:f>
        <x:v>4</x:v>
      </x:c>
      <x:c r="F53" s="1">
        <x:v>1</x:v>
      </x:c>
      <x:c r="G53" s="1" t="b">
        <x:v>0</x:v>
      </x:c>
      <x:c r="H53" s="1">
        <x:v>0</x:v>
      </x:c>
      <x:c r="I53" s="1">
        <x:v>0</x:v>
      </x:c>
      <x:c r="J53" s="1">
        <x:f t="shared" si="15"/>
        <x:v>1</x:v>
      </x:c>
      <x:c r="K53" s="1">
        <x:f>IF(L53="Buff",2,60)</x:f>
        <x:v>60</x:v>
      </x:c>
      <x:c r="L53" s="1" t="str">
        <x:f t="shared" si="17"/>
        <x:v>Debuff</x:v>
      </x:c>
      <x:c r="M53" s="1" t="str">
        <x:f t="shared" si="14"/>
        <x:v>Enemy</x:v>
      </x:c>
      <x:c r="N53" s="1" t="str">
        <x:f>N49</x:f>
        <x:v>None</x:v>
      </x:c>
      <x:c r="O53" s="1" t="str">
        <x:f>O49</x:f>
        <x:v>Defense</x:v>
      </x:c>
      <x:c r="P53" s="1">
        <x:v>1</x:v>
      </x:c>
      <x:c r="Q53" s="1">
        <x:v>0</x:v>
      </x:c>
      <x:c r="R53" s="1">
        <x:f t="shared" si="1"/>
        <x:v>2403</x:v>
      </x:c>
    </x:row>
    <x:row r="54" spans="1:18">
      <x:c r="A54" s="1">
        <x:f t="shared" si="16"/>
        <x:v>4103</x:v>
      </x:c>
      <x:c r="B54" s="1" t="str">
        <x:f>B42</x:f>
        <x:v>(광역) 방패 타워</x:v>
      </x:c>
      <x:c r="C54" s="1">
        <x:v>1</x:v>
      </x:c>
      <x:c r="D54" s="1">
        <x:f>ROUND(D50*3,2)</x:f>
        <x:v>13.380000000000001</x:v>
      </x:c>
      <x:c r="E54" s="1">
        <x:f>ROUND(E50*1.1,2)</x:f>
        <x:v>2.2000000000000002</x:v>
      </x:c>
      <x:c r="F54" s="1">
        <x:f>ROUND(F50*2.5,2)</x:f>
        <x:v>1.75</x:v>
      </x:c>
      <x:c r="G54" s="1" t="b">
        <x:v>0</x:v>
      </x:c>
      <x:c r="H54" s="1">
        <x:f>IF(H50*1.6&lt;=1,H50*1.6,1)</x:f>
        <x:v>0.13439999999999999</x:v>
      </x:c>
      <x:c r="I54" s="1">
        <x:f>ROUND(I50*2,2)</x:f>
        <x:v>0.35999999999999999</x:v>
      </x:c>
      <x:c r="J54" s="1">
        <x:f>ROUND(J42*3,2)</x:f>
        <x:v>0.29999999999999999</x:v>
      </x:c>
      <x:c r="K54" s="1">
        <x:v>150</x:v>
      </x:c>
      <x:c r="L54" s="1" t="str">
        <x:f t="shared" si="17"/>
        <x:v>Splash</x:v>
      </x:c>
      <x:c r="M54" s="1" t="str">
        <x:f t="shared" si="14"/>
        <x:v>Enemy</x:v>
      </x:c>
      <x:c r="N54" s="1" t="s">
        <x:v>35</x:v>
      </x:c>
      <x:c r="O54" s="1" t="str">
        <x:f>O42</x:f>
        <x:v>Stun</x:v>
      </x:c>
      <x:c r="P54" s="1">
        <x:v>10</x:v>
      </x:c>
      <x:c r="Q54" s="1">
        <x:f>Q42*2</x:f>
        <x:v>4</x:v>
      </x:c>
      <x:c r="R54" s="1">
        <x:f t="shared" si="1"/>
        <x:v>3103</x:v>
      </x:c>
    </x:row>
    <x:row r="55" spans="1:18">
      <x:c r="A55" s="1">
        <x:f t="shared" si="16"/>
        <x:v>4203</x:v>
      </x:c>
      <x:c r="B55" s="1" t="str">
        <x:f>B43</x:f>
        <x:v>(단일) 방패 타워</x:v>
      </x:c>
      <x:c r="C55" s="1">
        <x:v>1</x:v>
      </x:c>
      <x:c r="D55" s="1">
        <x:f>ROUND(D51*3,2)</x:f>
        <x:v>24.48</x:v>
      </x:c>
      <x:c r="E55" s="1">
        <x:f>ROUND(E51*1.1,2)</x:f>
        <x:v>2.2000000000000002</x:v>
      </x:c>
      <x:c r="F55" s="1">
        <x:f>ROUND(F51*2.75,2)</x:f>
        <x:v>4.0999999999999996</x:v>
      </x:c>
      <x:c r="G55" s="1" t="b">
        <x:v>0</x:v>
      </x:c>
      <x:c r="H55" s="1">
        <x:f>IF(H51*1.6&lt;=1,H51*1.6,1)</x:f>
        <x:v>0.18815999999999999</x:v>
      </x:c>
      <x:c r="I55" s="1">
        <x:f>ROUND(I51*2,2)</x:f>
        <x:v>0.34000000000000002</x:v>
      </x:c>
      <x:c r="J55" s="1">
        <x:f t="shared" si="15"/>
        <x:v>0</x:v>
      </x:c>
      <x:c r="K55" s="1">
        <x:v>0</x:v>
      </x:c>
      <x:c r="L55" s="1" t="str">
        <x:f t="shared" si="17"/>
        <x:v>Target</x:v>
      </x:c>
      <x:c r="M55" s="1" t="str">
        <x:f t="shared" si="14"/>
        <x:v>Enemy</x:v>
      </x:c>
      <x:c r="N55" s="1" t="s">
        <x:v>35</x:v>
      </x:c>
      <x:c r="O55" s="1" t="s">
        <x:v>35</x:v>
      </x:c>
      <x:c r="P55" s="1">
        <x:v>15</x:v>
      </x:c>
      <x:c r="Q55" s="1">
        <x:v>0</x:v>
      </x:c>
      <x:c r="R55" s="1">
        <x:f t="shared" si="1"/>
        <x:v>3203</x:v>
      </x:c>
    </x:row>
    <x:row r="56" spans="1:18">
      <x:c r="A56" s="1">
        <x:f t="shared" si="16"/>
        <x:v>4303</x:v>
      </x:c>
      <x:c r="B56" s="1" t="str">
        <x:f>B44</x:f>
        <x:v>(함정) 방패 타워</x:v>
      </x:c>
      <x:c r="C56" s="1">
        <x:v>1</x:v>
      </x:c>
      <x:c r="D56" s="1">
        <x:f>ROUND(D52*3,2)</x:f>
        <x:v>0</x:v>
      </x:c>
      <x:c r="E56" s="1">
        <x:f>ROUND(E52*1.1,2)</x:f>
        <x:v>2.2000000000000002</x:v>
      </x:c>
      <x:c r="F56" s="1">
        <x:f>ROUND(F52*2.5,2)</x:f>
        <x:v>0.05</x:v>
      </x:c>
      <x:c r="G56" s="1" t="b">
        <x:v>0</x:v>
      </x:c>
      <x:c r="H56" s="1">
        <x:v>0</x:v>
      </x:c>
      <x:c r="I56" s="1">
        <x:v>0</x:v>
      </x:c>
      <x:c r="J56" s="1">
        <x:f t="shared" si="15"/>
        <x:v>5</x:v>
      </x:c>
      <x:c r="K56" s="1">
        <x:v>0</x:v>
      </x:c>
      <x:c r="L56" s="1" t="str">
        <x:f t="shared" si="17"/>
        <x:v>Trap</x:v>
      </x:c>
      <x:c r="M56" s="1" t="str">
        <x:f t="shared" si="14"/>
        <x:v>Enemy</x:v>
      </x:c>
      <x:c r="N56" s="1" t="s">
        <x:v>35</x:v>
      </x:c>
      <x:c r="O56" s="1" t="s">
        <x:v>35</x:v>
      </x:c>
      <x:c r="P56" s="1">
        <x:v>1</x:v>
      </x:c>
      <x:c r="Q56" s="1">
        <x:f>Q44*2</x:f>
        <x:v>3</x:v>
      </x:c>
      <x:c r="R56" s="1">
        <x:f t="shared" si="1"/>
        <x:v>3303</x:v>
      </x:c>
    </x:row>
    <x:row r="57" spans="1:18">
      <x:c r="A57" s="1">
        <x:f t="shared" si="16"/>
        <x:v>4403</x:v>
      </x:c>
      <x:c r="B57" s="1" t="str">
        <x:f>B45</x:f>
        <x:v>(버프) 방패 타워</x:v>
      </x:c>
      <x:c r="C57" s="1">
        <x:v>1</x:v>
      </x:c>
      <x:c r="D57" s="1">
        <x:v>0</x:v>
      </x:c>
      <x:c r="E57" s="1">
        <x:f>E53+2</x:f>
        <x:v>6</x:v>
      </x:c>
      <x:c r="F57" s="1">
        <x:v>1</x:v>
      </x:c>
      <x:c r="G57" s="1" t="b">
        <x:v>0</x:v>
      </x:c>
      <x:c r="H57" s="1">
        <x:v>0</x:v>
      </x:c>
      <x:c r="I57" s="1">
        <x:v>0</x:v>
      </x:c>
      <x:c r="J57" s="1">
        <x:f t="shared" si="15"/>
        <x:v>1</x:v>
      </x:c>
      <x:c r="K57" s="1">
        <x:f>IF(L57="Buff",3,150)</x:f>
        <x:v>150</x:v>
      </x:c>
      <x:c r="L57" s="1" t="str">
        <x:f t="shared" si="17"/>
        <x:v>Debuff</x:v>
      </x:c>
      <x:c r="M57" s="1" t="str">
        <x:f t="shared" si="14"/>
        <x:v>Enemy</x:v>
      </x:c>
      <x:c r="N57" s="1" t="str">
        <x:f>N53</x:f>
        <x:v>None</x:v>
      </x:c>
      <x:c r="O57" s="1" t="str">
        <x:f>O53</x:f>
        <x:v>Defense</x:v>
      </x:c>
      <x:c r="P57" s="1">
        <x:v>1</x:v>
      </x:c>
      <x:c r="Q57" s="1">
        <x:v>0</x:v>
      </x:c>
      <x:c r="R57" s="1">
        <x:f t="shared" si="1"/>
        <x:v>3403</x:v>
      </x:c>
    </x:row>
    <x:row r="58" spans="1:18">
      <x:c r="A58" s="1">
        <x:f t="shared" si="16"/>
        <x:v>5103</x:v>
      </x:c>
      <x:c r="B58" s="1" t="str">
        <x:f>B42</x:f>
        <x:v>(광역) 방패 타워</x:v>
      </x:c>
      <x:c r="C58" s="1">
        <x:v>1</x:v>
      </x:c>
      <x:c r="D58" s="1">
        <x:f>ROUND(D54*4.2,2)</x:f>
        <x:v>56.200000000000003</x:v>
      </x:c>
      <x:c r="E58" s="1">
        <x:f>ROUND(E54*1.25,2)</x:f>
        <x:v>2.75</x:v>
      </x:c>
      <x:c r="F58" s="1">
        <x:f>ROUND(F54*3,2)</x:f>
        <x:v>5.25</x:v>
      </x:c>
      <x:c r="G58" s="1" t="b">
        <x:v>0</x:v>
      </x:c>
      <x:c r="H58" s="1">
        <x:f>IF(H54*1.8&lt;=1,H54*1.8,1)</x:f>
        <x:v>0.24192</x:v>
      </x:c>
      <x:c r="I58" s="1">
        <x:f>ROUND(I54*2.8,2)</x:f>
        <x:v>1.01</x:v>
      </x:c>
      <x:c r="J58" s="1">
        <x:f>ROUND(J42*5,2)</x:f>
        <x:v>0.5</x:v>
      </x:c>
      <x:c r="K58" s="1">
        <x:v>525</x:v>
      </x:c>
      <x:c r="L58" s="1" t="str">
        <x:f t="shared" si="17"/>
        <x:v>Splash</x:v>
      </x:c>
      <x:c r="M58" s="1" t="str">
        <x:f t="shared" si="14"/>
        <x:v>Enemy</x:v>
      </x:c>
      <x:c r="N58" s="1" t="s">
        <x:v>35</x:v>
      </x:c>
      <x:c r="O58" s="1" t="str">
        <x:f>O42</x:f>
        <x:v>Stun</x:v>
      </x:c>
      <x:c r="P58" s="1">
        <x:v>10</x:v>
      </x:c>
      <x:c r="Q58" s="1">
        <x:f>Q42*3</x:f>
        <x:v>6</x:v>
      </x:c>
      <x:c r="R58" s="1">
        <x:f t="shared" si="1"/>
        <x:v>4103</x:v>
      </x:c>
    </x:row>
    <x:row r="59" spans="1:18">
      <x:c r="A59" s="1">
        <x:f t="shared" si="16"/>
        <x:v>5203</x:v>
      </x:c>
      <x:c r="B59" s="1" t="str">
        <x:f>B43</x:f>
        <x:v>(단일) 방패 타워</x:v>
      </x:c>
      <x:c r="C59" s="1">
        <x:v>1</x:v>
      </x:c>
      <x:c r="D59" s="1">
        <x:f>ROUND(D55*5,2)</x:f>
        <x:v>122.40000000000001</x:v>
      </x:c>
      <x:c r="E59" s="1">
        <x:f t="shared" ref="E59:E60" si="18">ROUND(E55*1.25,2)</x:f>
        <x:v>2.75</x:v>
      </x:c>
      <x:c r="F59" s="1">
        <x:f>ROUND(F55*4,2)</x:f>
        <x:v>16.399999999999999</x:v>
      </x:c>
      <x:c r="G59" s="1" t="b">
        <x:v>0</x:v>
      </x:c>
      <x:c r="H59" s="1">
        <x:f>IF(H55*1.8&lt;=1,H55*1.8,1)</x:f>
        <x:v>0.33868799999999999</x:v>
      </x:c>
      <x:c r="I59" s="1">
        <x:f>ROUND(I55*2.8,2)</x:f>
        <x:v>0.94999999999999996</x:v>
      </x:c>
      <x:c r="J59" s="1">
        <x:f t="shared" si="15"/>
        <x:v>0</x:v>
      </x:c>
      <x:c r="K59" s="1">
        <x:v>0</x:v>
      </x:c>
      <x:c r="L59" s="1" t="str">
        <x:f t="shared" si="17"/>
        <x:v>Target</x:v>
      </x:c>
      <x:c r="M59" s="1" t="str">
        <x:f t="shared" si="14"/>
        <x:v>Enemy</x:v>
      </x:c>
      <x:c r="N59" s="1" t="s">
        <x:v>35</x:v>
      </x:c>
      <x:c r="O59" s="1" t="s">
        <x:v>35</x:v>
      </x:c>
      <x:c r="P59" s="1">
        <x:v>15</x:v>
      </x:c>
      <x:c r="Q59" s="1">
        <x:v>0</x:v>
      </x:c>
      <x:c r="R59" s="1">
        <x:f t="shared" si="1"/>
        <x:v>4203</x:v>
      </x:c>
    </x:row>
    <x:row r="60" spans="1:18">
      <x:c r="A60" s="1">
        <x:f t="shared" si="16"/>
        <x:v>5303</x:v>
      </x:c>
      <x:c r="B60" s="1" t="str">
        <x:f>B44</x:f>
        <x:v>(함정) 방패 타워</x:v>
      </x:c>
      <x:c r="C60" s="1">
        <x:v>1</x:v>
      </x:c>
      <x:c r="D60" s="1">
        <x:f>ROUND(D56*5,2)</x:f>
        <x:v>0</x:v>
      </x:c>
      <x:c r="E60" s="1">
        <x:f t="shared" si="18"/>
        <x:v>2.75</x:v>
      </x:c>
      <x:c r="F60" s="1">
        <x:f>ROUND(F56*3,2)</x:f>
        <x:v>0.14999999999999999</x:v>
      </x:c>
      <x:c r="G60" s="1" t="b">
        <x:v>0</x:v>
      </x:c>
      <x:c r="H60" s="1">
        <x:v>0</x:v>
      </x:c>
      <x:c r="I60" s="1">
        <x:v>0</x:v>
      </x:c>
      <x:c r="J60" s="1">
        <x:f t="shared" si="15"/>
        <x:v>5</x:v>
      </x:c>
      <x:c r="K60" s="1">
        <x:v>0</x:v>
      </x:c>
      <x:c r="L60" s="1" t="str">
        <x:f t="shared" si="17"/>
        <x:v>Trap</x:v>
      </x:c>
      <x:c r="M60" s="1" t="str">
        <x:f t="shared" si="14"/>
        <x:v>Enemy</x:v>
      </x:c>
      <x:c r="N60" s="1" t="s">
        <x:v>35</x:v>
      </x:c>
      <x:c r="O60" s="1" t="s">
        <x:v>35</x:v>
      </x:c>
      <x:c r="P60" s="1">
        <x:v>1</x:v>
      </x:c>
      <x:c r="Q60" s="1">
        <x:f>Q44*3</x:f>
        <x:v>4.5</x:v>
      </x:c>
      <x:c r="R60" s="1">
        <x:f t="shared" si="1"/>
        <x:v>4303</x:v>
      </x:c>
    </x:row>
    <x:row r="61" spans="1:18">
      <x:c r="A61" s="1">
        <x:f t="shared" si="16"/>
        <x:v>5403</x:v>
      </x:c>
      <x:c r="B61" s="1" t="str">
        <x:f>B45</x:f>
        <x:v>(버프) 방패 타워</x:v>
      </x:c>
      <x:c r="C61" s="1">
        <x:v>1</x:v>
      </x:c>
      <x:c r="D61" s="1">
        <x:v>0</x:v>
      </x:c>
      <x:c r="E61" s="1">
        <x:f>E57+3</x:f>
        <x:v>9</x:v>
      </x:c>
      <x:c r="F61" s="1">
        <x:v>1</x:v>
      </x:c>
      <x:c r="G61" s="1" t="b">
        <x:v>0</x:v>
      </x:c>
      <x:c r="H61" s="1">
        <x:v>0</x:v>
      </x:c>
      <x:c r="I61" s="1">
        <x:v>0</x:v>
      </x:c>
      <x:c r="J61" s="1">
        <x:f t="shared" si="15"/>
        <x:v>1</x:v>
      </x:c>
      <x:c r="K61" s="1">
        <x:f>IF(L61="Buff",5,525)</x:f>
        <x:v>525</x:v>
      </x:c>
      <x:c r="L61" s="1" t="str">
        <x:f t="shared" si="17"/>
        <x:v>Debuff</x:v>
      </x:c>
      <x:c r="M61" s="1" t="str">
        <x:f t="shared" si="14"/>
        <x:v>Enemy</x:v>
      </x:c>
      <x:c r="N61" s="1" t="str">
        <x:f>N57</x:f>
        <x:v>None</x:v>
      </x:c>
      <x:c r="O61" s="1" t="str">
        <x:f>O57</x:f>
        <x:v>Defense</x:v>
      </x:c>
      <x:c r="P61" s="1">
        <x:v>1</x:v>
      </x:c>
      <x:c r="Q61" s="1">
        <x:v>0</x:v>
      </x:c>
      <x:c r="R61" s="1">
        <x:f t="shared" si="1"/>
        <x:v>4403</x:v>
      </x:c>
    </x:row>
    <x:row r="62" spans="1:18">
      <x:c r="A62" s="1">
        <x:v>1104</x:v>
      </x:c>
      <x:c r="B62" s="1" t="s">
        <x:v>45</x:v>
      </x:c>
      <x:c r="C62" s="1">
        <x:v>1</x:v>
      </x:c>
      <x:c r="D62" s="1">
        <x:v>1.76</x:v>
      </x:c>
      <x:c r="E62" s="1">
        <x:v>2.25</x:v>
      </x:c>
      <x:c r="F62" s="1">
        <x:v>0.29999999999999999</x:v>
      </x:c>
      <x:c r="G62" s="1" t="b">
        <x:v>0</x:v>
      </x:c>
      <x:c r="H62" s="1">
        <x:v>0.105</x:v>
      </x:c>
      <x:c r="I62" s="1">
        <x:v>0.035000000000000003</x:v>
      </x:c>
      <x:c r="J62" s="1">
        <x:v>0.5</x:v>
      </x:c>
      <x:c r="K62" s="1">
        <x:v>8.6957000000000004</x:v>
      </x:c>
      <x:c r="L62" s="1" t="s">
        <x:v>29</x:v>
      </x:c>
      <x:c r="M62" s="1" t="str">
        <x:f t="shared" ref="M62:M64" si="19">IF(L62="Buff","Tower","Enemy")</x:f>
        <x:v>Enemy</x:v>
      </x:c>
      <x:c r="N62" s="1" t="s">
        <x:v>35</x:v>
      </x:c>
      <x:c r="O62" s="1" t="s">
        <x:v>35</x:v>
      </x:c>
      <x:c r="P62" s="1">
        <x:v>10</x:v>
      </x:c>
      <x:c r="Q62" s="1">
        <x:v>1.5</x:v>
      </x:c>
      <x:c r="R62" s="1">
        <x:f t="shared" si="1"/>
        <x:v>104</x:v>
      </x:c>
    </x:row>
    <x:row r="63" spans="1:18">
      <x:c r="A63" s="1">
        <x:f>A62+100</x:f>
        <x:v>1204</x:v>
      </x:c>
      <x:c r="B63" s="1" t="s">
        <x:v>58</x:v>
      </x:c>
      <x:c r="C63" s="1">
        <x:v>1</x:v>
      </x:c>
      <x:c r="D63" s="1">
        <x:v>1.3500000000000001</x:v>
      </x:c>
      <x:c r="E63" s="1">
        <x:v>2.25</x:v>
      </x:c>
      <x:c r="F63" s="1">
        <x:v>0.5</x:v>
      </x:c>
      <x:c r="G63" s="1" t="b">
        <x:v>0</x:v>
      </x:c>
      <x:c r="H63" s="1">
        <x:v>0.12</x:v>
      </x:c>
      <x:c r="I63" s="1">
        <x:v>0.025</x:v>
      </x:c>
      <x:c r="J63" s="1">
        <x:v>0</x:v>
      </x:c>
      <x:c r="K63" s="1">
        <x:v>0</x:v>
      </x:c>
      <x:c r="L63" s="1" t="s">
        <x:v>26</x:v>
      </x:c>
      <x:c r="M63" s="1" t="str">
        <x:f t="shared" si="19"/>
        <x:v>Enemy</x:v>
      </x:c>
      <x:c r="N63" s="1" t="s">
        <x:v>35</x:v>
      </x:c>
      <x:c r="O63" s="1" t="s">
        <x:v>35</x:v>
      </x:c>
      <x:c r="P63" s="1">
        <x:v>15</x:v>
      </x:c>
      <x:c r="Q63" s="1">
        <x:v>0</x:v>
      </x:c>
      <x:c r="R63" s="1">
        <x:f t="shared" si="1"/>
        <x:v>204</x:v>
      </x:c>
    </x:row>
    <x:row r="64" spans="1:18">
      <x:c r="A64" s="1">
        <x:f>A62+200</x:f>
        <x:v>1304</x:v>
      </x:c>
      <x:c r="B64" s="1" t="s">
        <x:v>48</x:v>
      </x:c>
      <x:c r="C64" s="1">
        <x:v>1</x:v>
      </x:c>
      <x:c r="D64" s="1">
        <x:v>4</x:v>
      </x:c>
      <x:c r="E64" s="1">
        <x:v>2.25</x:v>
      </x:c>
      <x:c r="F64" s="1">
        <x:v>0.044999999999999996</x:v>
      </x:c>
      <x:c r="G64" s="1" t="b">
        <x:v>0</x:v>
      </x:c>
      <x:c r="H64" s="1">
        <x:v>0</x:v>
      </x:c>
      <x:c r="I64" s="1">
        <x:v>0</x:v>
      </x:c>
      <x:c r="J64" s="1">
        <x:v>30</x:v>
      </x:c>
      <x:c r="K64" s="1">
        <x:v>0</x:v>
      </x:c>
      <x:c r="L64" s="1" t="s">
        <x:v>42</x:v>
      </x:c>
      <x:c r="M64" s="1" t="str">
        <x:f t="shared" si="19"/>
        <x:v>Enemy</x:v>
      </x:c>
      <x:c r="N64" s="1" t="s">
        <x:v>35</x:v>
      </x:c>
      <x:c r="O64" s="1" t="s">
        <x:v>35</x:v>
      </x:c>
      <x:c r="P64" s="1">
        <x:v>1</x:v>
      </x:c>
      <x:c r="Q64" s="1">
        <x:v>1.5</x:v>
      </x:c>
      <x:c r="R64" s="1">
        <x:f t="shared" si="1"/>
        <x:v>304</x:v>
      </x:c>
    </x:row>
    <x:row r="65" spans="1:18">
      <x:c r="A65" s="1">
        <x:f>A62+300</x:f>
        <x:v>1404</x:v>
      </x:c>
      <x:c r="B65" s="1" t="s">
        <x:v>62</x:v>
      </x:c>
      <x:c r="C65" s="1">
        <x:v>1</x:v>
      </x:c>
      <x:c r="D65" s="1">
        <x:v>0</x:v>
      </x:c>
      <x:c r="E65" s="1">
        <x:v>1</x:v>
      </x:c>
      <x:c r="F65" s="1">
        <x:v>1</x:v>
      </x:c>
      <x:c r="G65" s="1" t="b">
        <x:v>0</x:v>
      </x:c>
      <x:c r="H65" s="1">
        <x:v>0</x:v>
      </x:c>
      <x:c r="I65" s="1">
        <x:v>0</x:v>
      </x:c>
      <x:c r="J65" s="1">
        <x:v>1</x:v>
      </x:c>
      <x:c r="K65" s="1">
        <x:f>IF(L65="Buff",1.2,8.6957)</x:f>
        <x:v>1.2</x:v>
      </x:c>
      <x:c r="L65" s="1" t="s">
        <x:v>32</x:v>
      </x:c>
      <x:c r="M65" s="1" t="str">
        <x:f>IF(L65="Buff","Tower","Enemy")</x:f>
        <x:v>Tower</x:v>
      </x:c>
      <x:c r="N65" s="1" t="s">
        <x:v>69</x:v>
      </x:c>
      <x:c r="O65" s="1" t="s">
        <x:v>35</x:v>
      </x:c>
      <x:c r="P65" s="1">
        <x:v>1</x:v>
      </x:c>
      <x:c r="Q65" s="1">
        <x:v>0</x:v>
      </x:c>
      <x:c r="R65" s="1">
        <x:f t="shared" si="1"/>
        <x:v>404</x:v>
      </x:c>
    </x:row>
    <x:row r="66" spans="1:18">
      <x:c r="A66" s="1">
        <x:f>A62+1000</x:f>
        <x:v>2104</x:v>
      </x:c>
      <x:c r="B66" s="1" t="str">
        <x:f>B62</x:f>
        <x:v>(광역) 창 타워</x:v>
      </x:c>
      <x:c r="C66" s="1">
        <x:v>1</x:v>
      </x:c>
      <x:c r="D66" s="1">
        <x:f>ROUND(D62*1.8,2)</x:f>
        <x:v>3.1699999999999999</x:v>
      </x:c>
      <x:c r="E66" s="1">
        <x:f>ROUND(E62,2)</x:f>
        <x:v>2.25</x:v>
      </x:c>
      <x:c r="F66" s="1">
        <x:f>ROUND(F62*2.1,2)</x:f>
        <x:v>0.63</x:v>
      </x:c>
      <x:c r="G66" s="1" t="b">
        <x:v>0</x:v>
      </x:c>
      <x:c r="H66" s="1">
        <x:f>IF(H62*1.2&lt;=1,H62*1.2,1)</x:f>
        <x:v>0.126</x:v>
      </x:c>
      <x:c r="I66" s="1">
        <x:f>ROUND(I62*1.2,2)</x:f>
        <x:v>0.040000000000000002</x:v>
      </x:c>
      <x:c r="J66" s="1">
        <x:f>ROUND(J62*1.5,2)</x:f>
        <x:v>0.75</x:v>
      </x:c>
      <x:c r="K66" s="1">
        <x:v>25</x:v>
      </x:c>
      <x:c r="L66" s="1" t="str">
        <x:f>L62</x:f>
        <x:v>Splash</x:v>
      </x:c>
      <x:c r="M66" s="1" t="str">
        <x:f t="shared" ref="M66:M81" si="20">IF(L66="Buff","Tower","Enemy")</x:f>
        <x:v>Enemy</x:v>
      </x:c>
      <x:c r="N66" s="1" t="s">
        <x:v>35</x:v>
      </x:c>
      <x:c r="O66" s="1" t="s">
        <x:v>35</x:v>
      </x:c>
      <x:c r="P66" s="1">
        <x:v>10</x:v>
      </x:c>
      <x:c r="Q66" s="1">
        <x:f>Q62</x:f>
        <x:v>1.5</x:v>
      </x:c>
      <x:c r="R66" s="1">
        <x:f t="shared" si="1"/>
        <x:v>1104</x:v>
      </x:c>
    </x:row>
    <x:row r="67" spans="1:18">
      <x:c r="A67" s="1">
        <x:f>A63+1000</x:f>
        <x:v>2204</x:v>
      </x:c>
      <x:c r="B67" s="1" t="str">
        <x:f>B63</x:f>
        <x:v>(단일) 창 타워</x:v>
      </x:c>
      <x:c r="C67" s="1">
        <x:v>1</x:v>
      </x:c>
      <x:c r="D67" s="1">
        <x:f>ROUND(D63*1.7,2)</x:f>
        <x:v>2.2999999999999998</x:v>
      </x:c>
      <x:c r="E67" s="1">
        <x:f>ROUND(E63,2)</x:f>
        <x:v>2.25</x:v>
      </x:c>
      <x:c r="F67" s="1">
        <x:f>ROUND(F63*2.2,2)</x:f>
        <x:v>1.1000000000000001</x:v>
      </x:c>
      <x:c r="G67" s="1" t="b">
        <x:v>0</x:v>
      </x:c>
      <x:c r="H67" s="1">
        <x:f>IF(H63*1.2&lt;=1,H63*1.2,1)</x:f>
        <x:v>0.14399999999999999</x:v>
      </x:c>
      <x:c r="I67" s="1">
        <x:f>ROUND(I63*1.2,2)</x:f>
        <x:v>0.029999999999999999</x:v>
      </x:c>
      <x:c r="J67" s="1">
        <x:f t="shared" ref="J67:J81" si="21">J63</x:f>
        <x:v>0</x:v>
      </x:c>
      <x:c r="K67" s="1">
        <x:v>0</x:v>
      </x:c>
      <x:c r="L67" s="1" t="str">
        <x:f>L63</x:f>
        <x:v>Target</x:v>
      </x:c>
      <x:c r="M67" s="1" t="str">
        <x:f t="shared" si="20"/>
        <x:v>Enemy</x:v>
      </x:c>
      <x:c r="N67" s="1" t="s">
        <x:v>35</x:v>
      </x:c>
      <x:c r="O67" s="1" t="s">
        <x:v>35</x:v>
      </x:c>
      <x:c r="P67" s="1">
        <x:v>15</x:v>
      </x:c>
      <x:c r="Q67" s="1">
        <x:v>0</x:v>
      </x:c>
      <x:c r="R67" s="1">
        <x:f t="shared" si="1"/>
        <x:v>1204</x:v>
      </x:c>
    </x:row>
    <x:row r="68" spans="1:18">
      <x:c r="A68" s="1">
        <x:f t="shared" ref="A68:A81" si="22">A64+1000</x:f>
        <x:v>2304</x:v>
      </x:c>
      <x:c r="B68" s="1" t="str">
        <x:f>B64</x:f>
        <x:v>(함정) 창 타워</x:v>
      </x:c>
      <x:c r="C68" s="1">
        <x:v>1</x:v>
      </x:c>
      <x:c r="D68" s="1">
        <x:f>ROUND(D64*2,2)</x:f>
        <x:v>8</x:v>
      </x:c>
      <x:c r="E68" s="1">
        <x:f>ROUND(E64,2)</x:f>
        <x:v>2.25</x:v>
      </x:c>
      <x:c r="F68" s="1">
        <x:f>ROUND(F64*2.1,2)</x:f>
        <x:v>0.089999999999999991</x:v>
      </x:c>
      <x:c r="G68" s="1" t="b">
        <x:v>0</x:v>
      </x:c>
      <x:c r="H68" s="1">
        <x:v>0</x:v>
      </x:c>
      <x:c r="I68" s="1">
        <x:v>0</x:v>
      </x:c>
      <x:c r="J68" s="1">
        <x:f t="shared" si="21"/>
        <x:v>30</x:v>
      </x:c>
      <x:c r="K68" s="1">
        <x:v>0</x:v>
      </x:c>
      <x:c r="L68" s="1" t="str">
        <x:f>L64</x:f>
        <x:v>Trap</x:v>
      </x:c>
      <x:c r="M68" s="1" t="str">
        <x:f t="shared" si="20"/>
        <x:v>Enemy</x:v>
      </x:c>
      <x:c r="N68" s="1" t="s">
        <x:v>35</x:v>
      </x:c>
      <x:c r="O68" s="1" t="s">
        <x:v>35</x:v>
      </x:c>
      <x:c r="P68" s="1">
        <x:v>1</x:v>
      </x:c>
      <x:c r="Q68" s="1">
        <x:f>Q64</x:f>
        <x:v>1.5</x:v>
      </x:c>
      <x:c r="R68" s="1">
        <x:f t="shared" si="1"/>
        <x:v>1304</x:v>
      </x:c>
    </x:row>
    <x:row r="69" spans="1:18">
      <x:c r="A69" s="1">
        <x:f t="shared" si="22"/>
        <x:v>2404</x:v>
      </x:c>
      <x:c r="B69" s="1" t="str">
        <x:f>B65</x:f>
        <x:v>(버프) 창 타워</x:v>
      </x:c>
      <x:c r="C69" s="1">
        <x:v>1</x:v>
      </x:c>
      <x:c r="D69" s="1">
        <x:v>0</x:v>
      </x:c>
      <x:c r="E69" s="1">
        <x:f>E65</x:f>
        <x:v>1</x:v>
      </x:c>
      <x:c r="F69" s="1">
        <x:v>1</x:v>
      </x:c>
      <x:c r="G69" s="1" t="b">
        <x:v>0</x:v>
      </x:c>
      <x:c r="H69" s="1">
        <x:v>0</x:v>
      </x:c>
      <x:c r="I69" s="1">
        <x:v>0</x:v>
      </x:c>
      <x:c r="J69" s="1">
        <x:f t="shared" si="21"/>
        <x:v>1</x:v>
      </x:c>
      <x:c r="K69" s="1">
        <x:f>IF(L69="Buff",1.4,25)</x:f>
        <x:v>1.3999999999999999</x:v>
      </x:c>
      <x:c r="L69" s="1" t="str">
        <x:f>L65</x:f>
        <x:v>Buff</x:v>
      </x:c>
      <x:c r="M69" s="1" t="str">
        <x:f t="shared" si="20"/>
        <x:v>Tower</x:v>
      </x:c>
      <x:c r="N69" s="1" t="str">
        <x:f>N65</x:f>
        <x:v>CriticalRate</x:v>
      </x:c>
      <x:c r="O69" s="1" t="str">
        <x:f>O65</x:f>
        <x:v>None</x:v>
      </x:c>
      <x:c r="P69" s="1">
        <x:v>1</x:v>
      </x:c>
      <x:c r="Q69" s="1">
        <x:v>0</x:v>
      </x:c>
      <x:c r="R69" s="1">
        <x:f t="shared" si="1"/>
        <x:v>1404</x:v>
      </x:c>
    </x:row>
    <x:row r="70" spans="1:18">
      <x:c r="A70" s="1">
        <x:f t="shared" si="22"/>
        <x:v>3104</x:v>
      </x:c>
      <x:c r="B70" s="1" t="str">
        <x:f>B62</x:f>
        <x:v>(광역) 창 타워</x:v>
      </x:c>
      <x:c r="C70" s="1">
        <x:v>1</x:v>
      </x:c>
      <x:c r="D70" s="1">
        <x:f>ROUND(D66*2.25,2)</x:f>
        <x:v>7.1299999999999999</x:v>
      </x:c>
      <x:c r="E70" s="1">
        <x:f>ROUND(E66,2)</x:f>
        <x:v>2.25</x:v>
      </x:c>
      <x:c r="F70" s="1">
        <x:f>ROUND(F66*2.2,2)</x:f>
        <x:v>1.3899999999999999</x:v>
      </x:c>
      <x:c r="G70" s="1" t="b">
        <x:v>0</x:v>
      </x:c>
      <x:c r="H70" s="1">
        <x:f>IF(H66*1.4&lt;=1,H66*1.4,1)</x:f>
        <x:v>0.1764</x:v>
      </x:c>
      <x:c r="I70" s="1">
        <x:f>ROUND(I66*1.5,2)</x:f>
        <x:v>0.059999999999999998</x:v>
      </x:c>
      <x:c r="J70" s="1">
        <x:f>ROUND(J62*2,2)</x:f>
        <x:v>1</x:v>
      </x:c>
      <x:c r="K70" s="1">
        <x:v>60</x:v>
      </x:c>
      <x:c r="L70" s="1" t="str">
        <x:f t="shared" ref="L70:L81" si="23">L66</x:f>
        <x:v>Splash</x:v>
      </x:c>
      <x:c r="M70" s="1" t="str">
        <x:f t="shared" si="20"/>
        <x:v>Enemy</x:v>
      </x:c>
      <x:c r="N70" s="1" t="s">
        <x:v>35</x:v>
      </x:c>
      <x:c r="O70" s="1" t="s">
        <x:v>35</x:v>
      </x:c>
      <x:c r="P70" s="1">
        <x:v>10</x:v>
      </x:c>
      <x:c r="Q70" s="1">
        <x:f>Q62*1.5</x:f>
        <x:v>2.25</x:v>
      </x:c>
      <x:c r="R70" s="1">
        <x:f t="shared" si="1"/>
        <x:v>2104</x:v>
      </x:c>
    </x:row>
    <x:row r="71" spans="1:18">
      <x:c r="A71" s="1">
        <x:f t="shared" si="22"/>
        <x:v>3204</x:v>
      </x:c>
      <x:c r="B71" s="1" t="str">
        <x:f>B63</x:f>
        <x:v>(단일) 창 타워</x:v>
      </x:c>
      <x:c r="C71" s="1">
        <x:v>1</x:v>
      </x:c>
      <x:c r="D71" s="1">
        <x:f>ROUND(D67*2,2)</x:f>
        <x:v>4.5999999999999996</x:v>
      </x:c>
      <x:c r="E71" s="1">
        <x:f>ROUND(E67,2)</x:f>
        <x:v>2.25</x:v>
      </x:c>
      <x:c r="F71" s="1">
        <x:f>ROUND(F67*2.4,2)</x:f>
        <x:v>2.6400000000000001</x:v>
      </x:c>
      <x:c r="G71" s="1" t="b">
        <x:v>0</x:v>
      </x:c>
      <x:c r="H71" s="1">
        <x:f>IF(H67*1.4&lt;=1,H67*1.4,1)</x:f>
        <x:v>0.20159999999999997</x:v>
      </x:c>
      <x:c r="I71" s="1">
        <x:f>ROUND(I67*1.5,2)</x:f>
        <x:v>0.05</x:v>
      </x:c>
      <x:c r="J71" s="1">
        <x:f t="shared" si="21"/>
        <x:v>0</x:v>
      </x:c>
      <x:c r="K71" s="1">
        <x:v>0</x:v>
      </x:c>
      <x:c r="L71" s="1" t="str">
        <x:f t="shared" si="23"/>
        <x:v>Target</x:v>
      </x:c>
      <x:c r="M71" s="1" t="str">
        <x:f t="shared" si="20"/>
        <x:v>Enemy</x:v>
      </x:c>
      <x:c r="N71" s="1" t="s">
        <x:v>35</x:v>
      </x:c>
      <x:c r="O71" s="1" t="s">
        <x:v>35</x:v>
      </x:c>
      <x:c r="P71" s="1">
        <x:v>15</x:v>
      </x:c>
      <x:c r="Q71" s="1">
        <x:v>0</x:v>
      </x:c>
      <x:c r="R71" s="1">
        <x:f t="shared" si="1"/>
        <x:v>2204</x:v>
      </x:c>
    </x:row>
    <x:row r="72" spans="1:18">
      <x:c r="A72" s="1">
        <x:f t="shared" si="22"/>
        <x:v>3304</x:v>
      </x:c>
      <x:c r="B72" s="1" t="str">
        <x:f>B64</x:f>
        <x:v>(함정) 창 타워</x:v>
      </x:c>
      <x:c r="C72" s="1">
        <x:v>1</x:v>
      </x:c>
      <x:c r="D72" s="1">
        <x:f>ROUND(D68*2.5,2)</x:f>
        <x:v>20</x:v>
      </x:c>
      <x:c r="E72" s="1">
        <x:f>ROUND(E68,2)</x:f>
        <x:v>2.25</x:v>
      </x:c>
      <x:c r="F72" s="1">
        <x:f>ROUND(F68*2.2,2)</x:f>
        <x:v>0.20000000000000001</x:v>
      </x:c>
      <x:c r="G72" s="1" t="b">
        <x:v>0</x:v>
      </x:c>
      <x:c r="H72" s="1">
        <x:v>0</x:v>
      </x:c>
      <x:c r="I72" s="1">
        <x:v>0</x:v>
      </x:c>
      <x:c r="J72" s="1">
        <x:f t="shared" si="21"/>
        <x:v>30</x:v>
      </x:c>
      <x:c r="K72" s="1">
        <x:v>0</x:v>
      </x:c>
      <x:c r="L72" s="1" t="str">
        <x:f t="shared" si="23"/>
        <x:v>Trap</x:v>
      </x:c>
      <x:c r="M72" s="1" t="str">
        <x:f t="shared" si="20"/>
        <x:v>Enemy</x:v>
      </x:c>
      <x:c r="N72" s="1" t="s">
        <x:v>35</x:v>
      </x:c>
      <x:c r="O72" s="1" t="s">
        <x:v>35</x:v>
      </x:c>
      <x:c r="P72" s="1">
        <x:v>1</x:v>
      </x:c>
      <x:c r="Q72" s="1">
        <x:f>Q64*1.5</x:f>
        <x:v>2.25</x:v>
      </x:c>
      <x:c r="R72" s="1">
        <x:f t="shared" si="1"/>
        <x:v>2304</x:v>
      </x:c>
    </x:row>
    <x:row r="73" spans="1:18">
      <x:c r="A73" s="1">
        <x:f t="shared" si="22"/>
        <x:v>3404</x:v>
      </x:c>
      <x:c r="B73" s="1" t="str">
        <x:f>B65</x:f>
        <x:v>(버프) 창 타워</x:v>
      </x:c>
      <x:c r="C73" s="1">
        <x:v>1</x:v>
      </x:c>
      <x:c r="D73" s="1">
        <x:v>0</x:v>
      </x:c>
      <x:c r="E73" s="1">
        <x:f>E69+1</x:f>
        <x:v>2</x:v>
      </x:c>
      <x:c r="F73" s="1">
        <x:v>1</x:v>
      </x:c>
      <x:c r="G73" s="1" t="b">
        <x:v>0</x:v>
      </x:c>
      <x:c r="H73" s="1">
        <x:v>0</x:v>
      </x:c>
      <x:c r="I73" s="1">
        <x:v>0</x:v>
      </x:c>
      <x:c r="J73" s="1">
        <x:f t="shared" si="21"/>
        <x:v>1</x:v>
      </x:c>
      <x:c r="K73" s="1">
        <x:f>IF(L73="Buff",2,60)</x:f>
        <x:v>2</x:v>
      </x:c>
      <x:c r="L73" s="1" t="str">
        <x:f t="shared" si="23"/>
        <x:v>Buff</x:v>
      </x:c>
      <x:c r="M73" s="1" t="str">
        <x:f t="shared" si="20"/>
        <x:v>Tower</x:v>
      </x:c>
      <x:c r="N73" s="1" t="str">
        <x:f>N69</x:f>
        <x:v>CriticalRate</x:v>
      </x:c>
      <x:c r="O73" s="1" t="str">
        <x:f>O69</x:f>
        <x:v>None</x:v>
      </x:c>
      <x:c r="P73" s="1">
        <x:v>1</x:v>
      </x:c>
      <x:c r="Q73" s="1">
        <x:v>0</x:v>
      </x:c>
      <x:c r="R73" s="1">
        <x:f t="shared" si="1"/>
        <x:v>2404</x:v>
      </x:c>
    </x:row>
    <x:row r="74" spans="1:18">
      <x:c r="A74" s="1">
        <x:f t="shared" si="22"/>
        <x:v>4104</x:v>
      </x:c>
      <x:c r="B74" s="1" t="str">
        <x:f>B62</x:f>
        <x:v>(광역) 창 타워</x:v>
      </x:c>
      <x:c r="C74" s="1">
        <x:v>1</x:v>
      </x:c>
      <x:c r="D74" s="1">
        <x:f>ROUND(D70*3,2)</x:f>
        <x:v>21.390000000000001</x:v>
      </x:c>
      <x:c r="E74" s="1">
        <x:f>ROUND(E70*1.1,2)</x:f>
        <x:v>2.48</x:v>
      </x:c>
      <x:c r="F74" s="1">
        <x:f>ROUND(F70*2.5,2)</x:f>
        <x:v>3.48</x:v>
      </x:c>
      <x:c r="G74" s="1" t="b">
        <x:v>0</x:v>
      </x:c>
      <x:c r="H74" s="1">
        <x:f>IF(H70*1.6&lt;=1,H70*1.6,1)</x:f>
        <x:v>0.28223999999999999</x:v>
      </x:c>
      <x:c r="I74" s="1">
        <x:f>ROUND(I70*2,2)</x:f>
        <x:v>0.12</x:v>
      </x:c>
      <x:c r="J74" s="1">
        <x:f>ROUND(J62*3,2)</x:f>
        <x:v>1.5</x:v>
      </x:c>
      <x:c r="K74" s="1">
        <x:v>150</x:v>
      </x:c>
      <x:c r="L74" s="1" t="str">
        <x:f t="shared" si="23"/>
        <x:v>Splash</x:v>
      </x:c>
      <x:c r="M74" s="1" t="str">
        <x:f t="shared" si="20"/>
        <x:v>Enemy</x:v>
      </x:c>
      <x:c r="N74" s="1" t="s">
        <x:v>35</x:v>
      </x:c>
      <x:c r="O74" s="1" t="s">
        <x:v>35</x:v>
      </x:c>
      <x:c r="P74" s="1">
        <x:v>10</x:v>
      </x:c>
      <x:c r="Q74" s="1">
        <x:f>Q62*2</x:f>
        <x:v>3</x:v>
      </x:c>
      <x:c r="R74" s="1">
        <x:f t="shared" si="1"/>
        <x:v>3104</x:v>
      </x:c>
    </x:row>
    <x:row r="75" spans="1:18">
      <x:c r="A75" s="1">
        <x:f t="shared" si="22"/>
        <x:v>4204</x:v>
      </x:c>
      <x:c r="B75" s="1" t="str">
        <x:f>B63</x:f>
        <x:v>(단일) 창 타워</x:v>
      </x:c>
      <x:c r="C75" s="1">
        <x:v>1</x:v>
      </x:c>
      <x:c r="D75" s="1">
        <x:f>ROUND(D71*3,2)</x:f>
        <x:v>13.800000000000001</x:v>
      </x:c>
      <x:c r="E75" s="1">
        <x:f>ROUND(E71*1.1,2)</x:f>
        <x:v>2.48</x:v>
      </x:c>
      <x:c r="F75" s="1">
        <x:f>ROUND(F71*2.75,2)</x:f>
        <x:v>7.2599999999999998</x:v>
      </x:c>
      <x:c r="G75" s="1" t="b">
        <x:v>0</x:v>
      </x:c>
      <x:c r="H75" s="1">
        <x:f>IF(H71*1.6&lt;=1,H71*1.6,1)</x:f>
        <x:v>0.32255999999999996</x:v>
      </x:c>
      <x:c r="I75" s="1">
        <x:f>ROUND(I71*2,2)</x:f>
        <x:v>0.10000000000000001</x:v>
      </x:c>
      <x:c r="J75" s="1">
        <x:f t="shared" si="21"/>
        <x:v>0</x:v>
      </x:c>
      <x:c r="K75" s="1">
        <x:v>0</x:v>
      </x:c>
      <x:c r="L75" s="1" t="str">
        <x:f t="shared" si="23"/>
        <x:v>Target</x:v>
      </x:c>
      <x:c r="M75" s="1" t="str">
        <x:f t="shared" si="20"/>
        <x:v>Enemy</x:v>
      </x:c>
      <x:c r="N75" s="1" t="s">
        <x:v>35</x:v>
      </x:c>
      <x:c r="O75" s="1" t="s">
        <x:v>35</x:v>
      </x:c>
      <x:c r="P75" s="1">
        <x:v>15</x:v>
      </x:c>
      <x:c r="Q75" s="1">
        <x:v>0</x:v>
      </x:c>
      <x:c r="R75" s="1">
        <x:f t="shared" si="1"/>
        <x:v>3204</x:v>
      </x:c>
    </x:row>
    <x:row r="76" spans="1:18">
      <x:c r="A76" s="1">
        <x:f t="shared" si="22"/>
        <x:v>4304</x:v>
      </x:c>
      <x:c r="B76" s="1" t="str">
        <x:f>B64</x:f>
        <x:v>(함정) 창 타워</x:v>
      </x:c>
      <x:c r="C76" s="1">
        <x:v>1</x:v>
      </x:c>
      <x:c r="D76" s="1">
        <x:f>ROUND(D72*3,2)</x:f>
        <x:v>60</x:v>
      </x:c>
      <x:c r="E76" s="1">
        <x:f>ROUND(E72*1.1,2)</x:f>
        <x:v>2.48</x:v>
      </x:c>
      <x:c r="F76" s="1">
        <x:f>ROUND(F72*2.5,2)</x:f>
        <x:v>0.5</x:v>
      </x:c>
      <x:c r="G76" s="1" t="b">
        <x:v>0</x:v>
      </x:c>
      <x:c r="H76" s="1">
        <x:v>0</x:v>
      </x:c>
      <x:c r="I76" s="1">
        <x:v>0</x:v>
      </x:c>
      <x:c r="J76" s="1">
        <x:f t="shared" si="21"/>
        <x:v>30</x:v>
      </x:c>
      <x:c r="K76" s="1">
        <x:v>0</x:v>
      </x:c>
      <x:c r="L76" s="1" t="str">
        <x:f t="shared" si="23"/>
        <x:v>Trap</x:v>
      </x:c>
      <x:c r="M76" s="1" t="str">
        <x:f t="shared" si="20"/>
        <x:v>Enemy</x:v>
      </x:c>
      <x:c r="N76" s="1" t="s">
        <x:v>35</x:v>
      </x:c>
      <x:c r="O76" s="1" t="s">
        <x:v>35</x:v>
      </x:c>
      <x:c r="P76" s="1">
        <x:v>1</x:v>
      </x:c>
      <x:c r="Q76" s="1">
        <x:f>Q64*2</x:f>
        <x:v>3</x:v>
      </x:c>
      <x:c r="R76" s="1">
        <x:f t="shared" si="1"/>
        <x:v>3304</x:v>
      </x:c>
    </x:row>
    <x:row r="77" spans="1:18">
      <x:c r="A77" s="1">
        <x:f t="shared" si="22"/>
        <x:v>4404</x:v>
      </x:c>
      <x:c r="B77" s="1" t="str">
        <x:f>B65</x:f>
        <x:v>(버프) 창 타워</x:v>
      </x:c>
      <x:c r="C77" s="1">
        <x:v>1</x:v>
      </x:c>
      <x:c r="D77" s="1">
        <x:v>0</x:v>
      </x:c>
      <x:c r="E77" s="1">
        <x:f>E73+2</x:f>
        <x:v>4</x:v>
      </x:c>
      <x:c r="F77" s="1">
        <x:v>1</x:v>
      </x:c>
      <x:c r="G77" s="1" t="b">
        <x:v>0</x:v>
      </x:c>
      <x:c r="H77" s="1">
        <x:v>0</x:v>
      </x:c>
      <x:c r="I77" s="1">
        <x:v>0</x:v>
      </x:c>
      <x:c r="J77" s="1">
        <x:f t="shared" si="21"/>
        <x:v>1</x:v>
      </x:c>
      <x:c r="K77" s="1">
        <x:f>IF(L77="Buff",3,150)</x:f>
        <x:v>3</x:v>
      </x:c>
      <x:c r="L77" s="1" t="str">
        <x:f t="shared" si="23"/>
        <x:v>Buff</x:v>
      </x:c>
      <x:c r="M77" s="1" t="str">
        <x:f t="shared" si="20"/>
        <x:v>Tower</x:v>
      </x:c>
      <x:c r="N77" s="1" t="str">
        <x:f>N73</x:f>
        <x:v>CriticalRate</x:v>
      </x:c>
      <x:c r="O77" s="1" t="str">
        <x:f>O73</x:f>
        <x:v>None</x:v>
      </x:c>
      <x:c r="P77" s="1">
        <x:v>1</x:v>
      </x:c>
      <x:c r="Q77" s="1">
        <x:v>0</x:v>
      </x:c>
      <x:c r="R77" s="1">
        <x:f t="shared" si="1"/>
        <x:v>3404</x:v>
      </x:c>
    </x:row>
    <x:row r="78" spans="1:18">
      <x:c r="A78" s="1">
        <x:f t="shared" si="22"/>
        <x:v>5104</x:v>
      </x:c>
      <x:c r="B78" s="1" t="str">
        <x:f>B62</x:f>
        <x:v>(광역) 창 타워</x:v>
      </x:c>
      <x:c r="C78" s="1">
        <x:v>1</x:v>
      </x:c>
      <x:c r="D78" s="1">
        <x:f>ROUND(D74*4.2,2)</x:f>
        <x:v>89.840000000000003</x:v>
      </x:c>
      <x:c r="E78" s="1">
        <x:f>ROUND(E74*1.25,2)</x:f>
        <x:v>3.1000000000000001</x:v>
      </x:c>
      <x:c r="F78" s="1">
        <x:f>ROUND(F74*3,2)</x:f>
        <x:v>10.44</x:v>
      </x:c>
      <x:c r="G78" s="1" t="b">
        <x:v>0</x:v>
      </x:c>
      <x:c r="H78" s="1">
        <x:f>IF(H74*1.8&lt;=1,H74*1.8,1)</x:f>
        <x:v>0.50803200000000004</x:v>
      </x:c>
      <x:c r="I78" s="1">
        <x:f>ROUND(I74*2.8,2)</x:f>
        <x:v>0.34000000000000002</x:v>
      </x:c>
      <x:c r="J78" s="1">
        <x:f>ROUND(J62*5,2)</x:f>
        <x:v>2.5</x:v>
      </x:c>
      <x:c r="K78" s="1">
        <x:v>525</x:v>
      </x:c>
      <x:c r="L78" s="1" t="str">
        <x:f t="shared" si="23"/>
        <x:v>Splash</x:v>
      </x:c>
      <x:c r="M78" s="1" t="str">
        <x:f t="shared" si="20"/>
        <x:v>Enemy</x:v>
      </x:c>
      <x:c r="N78" s="1" t="s">
        <x:v>35</x:v>
      </x:c>
      <x:c r="O78" s="1" t="s">
        <x:v>35</x:v>
      </x:c>
      <x:c r="P78" s="1">
        <x:v>10</x:v>
      </x:c>
      <x:c r="Q78" s="1">
        <x:f>Q62*3</x:f>
        <x:v>4.5</x:v>
      </x:c>
      <x:c r="R78" s="1">
        <x:f t="shared" si="1"/>
        <x:v>4104</x:v>
      </x:c>
    </x:row>
    <x:row r="79" spans="1:18">
      <x:c r="A79" s="1">
        <x:f t="shared" si="22"/>
        <x:v>5204</x:v>
      </x:c>
      <x:c r="B79" s="1" t="str">
        <x:f>B63</x:f>
        <x:v>(단일) 창 타워</x:v>
      </x:c>
      <x:c r="C79" s="1">
        <x:v>1</x:v>
      </x:c>
      <x:c r="D79" s="1">
        <x:f>ROUND(D75*5,2)</x:f>
        <x:v>69</x:v>
      </x:c>
      <x:c r="E79" s="1">
        <x:f t="shared" ref="E79:E80" si="24">ROUND(E75*1.25,2)</x:f>
        <x:v>3.1000000000000001</x:v>
      </x:c>
      <x:c r="F79" s="1">
        <x:f>ROUND(F75*4,2)</x:f>
        <x:v>29.039999999999999</x:v>
      </x:c>
      <x:c r="G79" s="1" t="b">
        <x:v>0</x:v>
      </x:c>
      <x:c r="H79" s="1">
        <x:f>IF(H75*1.8&lt;=1,H75*1.8,1)</x:f>
        <x:v>0.5806079999999999</x:v>
      </x:c>
      <x:c r="I79" s="1">
        <x:f>ROUND(I75*2.8,2)</x:f>
        <x:v>0.28000000000000003</x:v>
      </x:c>
      <x:c r="J79" s="1">
        <x:f t="shared" si="21"/>
        <x:v>0</x:v>
      </x:c>
      <x:c r="K79" s="1">
        <x:v>0</x:v>
      </x:c>
      <x:c r="L79" s="1" t="str">
        <x:f t="shared" si="23"/>
        <x:v>Target</x:v>
      </x:c>
      <x:c r="M79" s="1" t="str">
        <x:f t="shared" si="20"/>
        <x:v>Enemy</x:v>
      </x:c>
      <x:c r="N79" s="1" t="s">
        <x:v>35</x:v>
      </x:c>
      <x:c r="O79" s="1" t="s">
        <x:v>35</x:v>
      </x:c>
      <x:c r="P79" s="1">
        <x:v>15</x:v>
      </x:c>
      <x:c r="Q79" s="1">
        <x:v>0</x:v>
      </x:c>
      <x:c r="R79" s="1">
        <x:f t="shared" si="1"/>
        <x:v>4204</x:v>
      </x:c>
    </x:row>
    <x:row r="80" spans="1:18">
      <x:c r="A80" s="1">
        <x:f t="shared" si="22"/>
        <x:v>5304</x:v>
      </x:c>
      <x:c r="B80" s="1" t="str">
        <x:f>B64</x:f>
        <x:v>(함정) 창 타워</x:v>
      </x:c>
      <x:c r="C80" s="1">
        <x:v>1</x:v>
      </x:c>
      <x:c r="D80" s="1">
        <x:f>ROUND(D76*5,2)</x:f>
        <x:v>300</x:v>
      </x:c>
      <x:c r="E80" s="1">
        <x:f t="shared" si="24"/>
        <x:v>3.1000000000000001</x:v>
      </x:c>
      <x:c r="F80" s="1">
        <x:f>ROUND(F76*3,2)</x:f>
        <x:v>1.5</x:v>
      </x:c>
      <x:c r="G80" s="1" t="b">
        <x:v>0</x:v>
      </x:c>
      <x:c r="H80" s="1">
        <x:v>0</x:v>
      </x:c>
      <x:c r="I80" s="1">
        <x:v>0</x:v>
      </x:c>
      <x:c r="J80" s="1">
        <x:f t="shared" si="21"/>
        <x:v>30</x:v>
      </x:c>
      <x:c r="K80" s="1">
        <x:v>0</x:v>
      </x:c>
      <x:c r="L80" s="1" t="str">
        <x:f t="shared" si="23"/>
        <x:v>Trap</x:v>
      </x:c>
      <x:c r="M80" s="1" t="str">
        <x:f t="shared" si="20"/>
        <x:v>Enemy</x:v>
      </x:c>
      <x:c r="N80" s="1" t="s">
        <x:v>35</x:v>
      </x:c>
      <x:c r="O80" s="1" t="s">
        <x:v>35</x:v>
      </x:c>
      <x:c r="P80" s="1">
        <x:v>1</x:v>
      </x:c>
      <x:c r="Q80" s="1">
        <x:f>Q64*3</x:f>
        <x:v>4.5</x:v>
      </x:c>
      <x:c r="R80" s="1">
        <x:f t="shared" si="1"/>
        <x:v>4304</x:v>
      </x:c>
    </x:row>
    <x:row r="81" spans="1:18">
      <x:c r="A81" s="1">
        <x:f t="shared" si="22"/>
        <x:v>5404</x:v>
      </x:c>
      <x:c r="B81" s="1" t="str">
        <x:f>B65</x:f>
        <x:v>(버프) 창 타워</x:v>
      </x:c>
      <x:c r="C81" s="1">
        <x:v>1</x:v>
      </x:c>
      <x:c r="D81" s="1">
        <x:v>0</x:v>
      </x:c>
      <x:c r="E81" s="1">
        <x:f>E77+3</x:f>
        <x:v>7</x:v>
      </x:c>
      <x:c r="F81" s="1">
        <x:v>1</x:v>
      </x:c>
      <x:c r="G81" s="1" t="b">
        <x:v>0</x:v>
      </x:c>
      <x:c r="H81" s="1">
        <x:v>0</x:v>
      </x:c>
      <x:c r="I81" s="1">
        <x:v>0</x:v>
      </x:c>
      <x:c r="J81" s="1">
        <x:f t="shared" si="21"/>
        <x:v>1</x:v>
      </x:c>
      <x:c r="K81" s="1">
        <x:f>IF(L81="Buff",5,525)</x:f>
        <x:v>5</x:v>
      </x:c>
      <x:c r="L81" s="1" t="str">
        <x:f t="shared" si="23"/>
        <x:v>Buff</x:v>
      </x:c>
      <x:c r="M81" s="1" t="str">
        <x:f t="shared" si="20"/>
        <x:v>Tower</x:v>
      </x:c>
      <x:c r="N81" s="1" t="str">
        <x:f>N77</x:f>
        <x:v>CriticalRate</x:v>
      </x:c>
      <x:c r="O81" s="1" t="str">
        <x:f>O77</x:f>
        <x:v>None</x:v>
      </x:c>
      <x:c r="P81" s="1">
        <x:v>1</x:v>
      </x:c>
      <x:c r="Q81" s="1">
        <x:v>0</x:v>
      </x:c>
      <x:c r="R81" s="1">
        <x:f t="shared" si="1"/>
        <x:v>4404</x:v>
      </x:c>
    </x:row>
    <x:row r="82" spans="1:18">
      <x:c r="A82" s="1">
        <x:v>1105</x:v>
      </x:c>
      <x:c r="B82" s="1" t="s">
        <x:v>50</x:v>
      </x:c>
      <x:c r="C82" s="1">
        <x:v>1</x:v>
      </x:c>
      <x:c r="D82" s="1">
        <x:v>2.1499999999999999</x:v>
      </x:c>
      <x:c r="E82" s="1">
        <x:v>2.1000000000000001</x:v>
      </x:c>
      <x:c r="F82" s="1">
        <x:v>0.17999999999999999</x:v>
      </x:c>
      <x:c r="G82" s="1" t="b">
        <x:v>0</x:v>
      </x:c>
      <x:c r="H82" s="1">
        <x:v>0.0025</x:v>
      </x:c>
      <x:c r="I82" s="1">
        <x:v>5.5</x:v>
      </x:c>
      <x:c r="J82" s="1">
        <x:v>0.5</x:v>
      </x:c>
      <x:c r="K82" s="1">
        <x:v>8.6957000000000004</x:v>
      </x:c>
      <x:c r="L82" s="1" t="s">
        <x:v>29</x:v>
      </x:c>
      <x:c r="M82" s="1" t="str">
        <x:f t="shared" ref="M82:M84" si="25">IF(L82="Buff","Tower","Enemy")</x:f>
        <x:v>Enemy</x:v>
      </x:c>
      <x:c r="N82" s="1" t="s">
        <x:v>35</x:v>
      </x:c>
      <x:c r="O82" s="1" t="s">
        <x:v>35</x:v>
      </x:c>
      <x:c r="P82" s="1">
        <x:v>10</x:v>
      </x:c>
      <x:c r="Q82" s="1">
        <x:v>1.2</x:v>
      </x:c>
      <x:c r="R82" s="1">
        <x:f t="shared" si="1"/>
        <x:v>105</x:v>
      </x:c>
    </x:row>
    <x:row r="83" spans="1:18">
      <x:c r="A83" s="1">
        <x:f>A82+100</x:f>
        <x:v>1205</x:v>
      </x:c>
      <x:c r="B83" s="1" t="s">
        <x:v>47</x:v>
      </x:c>
      <x:c r="C83" s="1">
        <x:v>1</x:v>
      </x:c>
      <x:c r="D83" s="1">
        <x:v>2.5</x:v>
      </x:c>
      <x:c r="E83" s="1">
        <x:v>2.1000000000000001</x:v>
      </x:c>
      <x:c r="F83" s="1">
        <x:v>0.20000000000000001</x:v>
      </x:c>
      <x:c r="G83" s="1" t="b">
        <x:v>0</x:v>
      </x:c>
      <x:c r="H83" s="1">
        <x:v>0.0044999999999999996</x:v>
      </x:c>
      <x:c r="I83" s="1">
        <x:v>4.2000000000000002</x:v>
      </x:c>
      <x:c r="J83" s="1">
        <x:v>0</x:v>
      </x:c>
      <x:c r="K83" s="1">
        <x:v>0</x:v>
      </x:c>
      <x:c r="L83" s="1" t="s">
        <x:v>26</x:v>
      </x:c>
      <x:c r="M83" s="1" t="str">
        <x:f t="shared" si="25"/>
        <x:v>Enemy</x:v>
      </x:c>
      <x:c r="N83" s="1" t="s">
        <x:v>35</x:v>
      </x:c>
      <x:c r="O83" s="1" t="s">
        <x:v>35</x:v>
      </x:c>
      <x:c r="P83" s="1">
        <x:v>15</x:v>
      </x:c>
      <x:c r="Q83" s="1">
        <x:v>0</x:v>
      </x:c>
      <x:c r="R83" s="1">
        <x:f t="shared" si="1"/>
        <x:v>205</x:v>
      </x:c>
    </x:row>
    <x:row r="84" spans="1:18">
      <x:c r="A84" s="1">
        <x:f>A82+200</x:f>
        <x:v>1305</x:v>
      </x:c>
      <x:c r="B84" s="1" t="s">
        <x:v>20</x:v>
      </x:c>
      <x:c r="C84" s="1">
        <x:v>1</x:v>
      </x:c>
      <x:c r="D84" s="1">
        <x:v>3</x:v>
      </x:c>
      <x:c r="E84" s="1">
        <x:v>2.1000000000000001</x:v>
      </x:c>
      <x:c r="F84" s="1">
        <x:v>0.05</x:v>
      </x:c>
      <x:c r="G84" s="1" t="b">
        <x:v>0</x:v>
      </x:c>
      <x:c r="H84" s="1">
        <x:v>0</x:v>
      </x:c>
      <x:c r="I84" s="1">
        <x:v>0</x:v>
      </x:c>
      <x:c r="J84" s="1">
        <x:v>30</x:v>
      </x:c>
      <x:c r="K84" s="1">
        <x:v>0</x:v>
      </x:c>
      <x:c r="L84" s="1" t="s">
        <x:v>42</x:v>
      </x:c>
      <x:c r="M84" s="1" t="str">
        <x:f t="shared" si="25"/>
        <x:v>Enemy</x:v>
      </x:c>
      <x:c r="N84" s="1" t="s">
        <x:v>35</x:v>
      </x:c>
      <x:c r="O84" s="1" t="s">
        <x:v>35</x:v>
      </x:c>
      <x:c r="P84" s="1">
        <x:v>1</x:v>
      </x:c>
      <x:c r="Q84" s="1">
        <x:v>1.5</x:v>
      </x:c>
      <x:c r="R84" s="1">
        <x:f t="shared" si="1"/>
        <x:v>305</x:v>
      </x:c>
    </x:row>
    <x:row r="85" spans="1:18">
      <x:c r="A85" s="1">
        <x:f>A82+300</x:f>
        <x:v>1405</x:v>
      </x:c>
      <x:c r="B85" s="1" t="s">
        <x:v>63</x:v>
      </x:c>
      <x:c r="C85" s="1">
        <x:v>1</x:v>
      </x:c>
      <x:c r="D85" s="1">
        <x:v>0</x:v>
      </x:c>
      <x:c r="E85" s="1">
        <x:v>1</x:v>
      </x:c>
      <x:c r="F85" s="1">
        <x:v>1</x:v>
      </x:c>
      <x:c r="G85" s="1" t="b">
        <x:v>0</x:v>
      </x:c>
      <x:c r="H85" s="1">
        <x:v>0</x:v>
      </x:c>
      <x:c r="I85" s="1">
        <x:v>0</x:v>
      </x:c>
      <x:c r="J85" s="1">
        <x:v>1</x:v>
      </x:c>
      <x:c r="K85" s="1">
        <x:f>IF(L85="Buff",1.2,8.6957)</x:f>
        <x:v>1.2</x:v>
      </x:c>
      <x:c r="L85" s="1" t="s">
        <x:v>32</x:v>
      </x:c>
      <x:c r="M85" s="1" t="str">
        <x:f>IF(L85="Buff","Tower","Enemy")</x:f>
        <x:v>Tower</x:v>
      </x:c>
      <x:c r="N85" s="1" t="s">
        <x:v>70</x:v>
      </x:c>
      <x:c r="O85" s="1" t="s">
        <x:v>35</x:v>
      </x:c>
      <x:c r="P85" s="1">
        <x:v>1</x:v>
      </x:c>
      <x:c r="Q85" s="1">
        <x:v>0</x:v>
      </x:c>
      <x:c r="R85" s="1">
        <x:f t="shared" si="1"/>
        <x:v>405</x:v>
      </x:c>
    </x:row>
    <x:row r="86" spans="1:18">
      <x:c r="A86" s="1">
        <x:f>A82+1000</x:f>
        <x:v>2105</x:v>
      </x:c>
      <x:c r="B86" s="1" t="str">
        <x:f>B82</x:f>
        <x:v>(광역) 도끼 타워</x:v>
      </x:c>
      <x:c r="C86" s="1">
        <x:v>1</x:v>
      </x:c>
      <x:c r="D86" s="1">
        <x:f>ROUND(D82*1.8,2)</x:f>
        <x:v>3.8700000000000001</x:v>
      </x:c>
      <x:c r="E86" s="1">
        <x:f>ROUND(E82,2)</x:f>
        <x:v>2.1000000000000001</x:v>
      </x:c>
      <x:c r="F86" s="1">
        <x:f>ROUND(F82*2.1,2)</x:f>
        <x:v>0.38</x:v>
      </x:c>
      <x:c r="G86" s="1" t="b">
        <x:v>0</x:v>
      </x:c>
      <x:c r="H86" s="1">
        <x:f>IF(H82*1.2&lt;=1,H82*1.2,1)</x:f>
        <x:v>0.0029999999999999999</x:v>
      </x:c>
      <x:c r="I86" s="1">
        <x:f>ROUND(I82*1.2,2)</x:f>
        <x:v>6.5999999999999996</x:v>
      </x:c>
      <x:c r="J86" s="1">
        <x:f>ROUND(J82*1.5,2)</x:f>
        <x:v>0.75</x:v>
      </x:c>
      <x:c r="K86" s="1">
        <x:v>25</x:v>
      </x:c>
      <x:c r="L86" s="1" t="str">
        <x:f>L82</x:f>
        <x:v>Splash</x:v>
      </x:c>
      <x:c r="M86" s="1" t="str">
        <x:f t="shared" ref="M86:M101" si="26">IF(L86="Buff","Tower","Enemy")</x:f>
        <x:v>Enemy</x:v>
      </x:c>
      <x:c r="N86" s="1" t="s">
        <x:v>35</x:v>
      </x:c>
      <x:c r="O86" s="1" t="s">
        <x:v>35</x:v>
      </x:c>
      <x:c r="P86" s="1">
        <x:v>10</x:v>
      </x:c>
      <x:c r="Q86" s="1">
        <x:f>Q82</x:f>
        <x:v>1.2</x:v>
      </x:c>
      <x:c r="R86" s="1">
        <x:f t="shared" si="1"/>
        <x:v>1105</x:v>
      </x:c>
    </x:row>
    <x:row r="87" spans="1:18">
      <x:c r="A87" s="1">
        <x:f>A83+1000</x:f>
        <x:v>2205</x:v>
      </x:c>
      <x:c r="B87" s="1" t="str">
        <x:f>B83</x:f>
        <x:v>(단일) 도끼 타워</x:v>
      </x:c>
      <x:c r="C87" s="1">
        <x:v>1</x:v>
      </x:c>
      <x:c r="D87" s="1">
        <x:f>ROUND(D83*1.7,2)</x:f>
        <x:v>4.25</x:v>
      </x:c>
      <x:c r="E87" s="1">
        <x:f>ROUND(E83,2)</x:f>
        <x:v>2.1000000000000001</x:v>
      </x:c>
      <x:c r="F87" s="1">
        <x:f>ROUND(F83*2.2,2)</x:f>
        <x:v>0.44</x:v>
      </x:c>
      <x:c r="G87" s="1" t="b">
        <x:v>0</x:v>
      </x:c>
      <x:c r="H87" s="1">
        <x:f>IF(H83*1.2&lt;=1,H83*1.2,1)</x:f>
        <x:v>0.0053999999999999992</x:v>
      </x:c>
      <x:c r="I87" s="1">
        <x:f>ROUND(I83*1.2,2)</x:f>
        <x:v>5.04</x:v>
      </x:c>
      <x:c r="J87" s="1">
        <x:f t="shared" ref="J87:J101" si="27">J83</x:f>
        <x:v>0</x:v>
      </x:c>
      <x:c r="K87" s="1">
        <x:v>0</x:v>
      </x:c>
      <x:c r="L87" s="1" t="str">
        <x:f>L83</x:f>
        <x:v>Target</x:v>
      </x:c>
      <x:c r="M87" s="1" t="str">
        <x:f t="shared" si="26"/>
        <x:v>Enemy</x:v>
      </x:c>
      <x:c r="N87" s="1" t="s">
        <x:v>35</x:v>
      </x:c>
      <x:c r="O87" s="1" t="s">
        <x:v>35</x:v>
      </x:c>
      <x:c r="P87" s="1">
        <x:v>15</x:v>
      </x:c>
      <x:c r="Q87" s="1">
        <x:v>0</x:v>
      </x:c>
      <x:c r="R87" s="1">
        <x:f t="shared" si="1"/>
        <x:v>1205</x:v>
      </x:c>
    </x:row>
    <x:row r="88" spans="1:18">
      <x:c r="A88" s="1">
        <x:f t="shared" ref="A88:A101" si="28">A84+1000</x:f>
        <x:v>2305</x:v>
      </x:c>
      <x:c r="B88" s="1" t="str">
        <x:f>B84</x:f>
        <x:v>(함정) 도끼 타워</x:v>
      </x:c>
      <x:c r="C88" s="1">
        <x:v>1</x:v>
      </x:c>
      <x:c r="D88" s="1">
        <x:f>ROUND(D84*2,2)</x:f>
        <x:v>6</x:v>
      </x:c>
      <x:c r="E88" s="1">
        <x:f>ROUND(E84,2)</x:f>
        <x:v>2.1000000000000001</x:v>
      </x:c>
      <x:c r="F88" s="1">
        <x:f>ROUND(F84*2.1,2)</x:f>
        <x:v>0.11</x:v>
      </x:c>
      <x:c r="G88" s="1" t="b">
        <x:v>0</x:v>
      </x:c>
      <x:c r="H88" s="1">
        <x:v>0</x:v>
      </x:c>
      <x:c r="I88" s="1">
        <x:v>0</x:v>
      </x:c>
      <x:c r="J88" s="1">
        <x:f t="shared" si="27"/>
        <x:v>30</x:v>
      </x:c>
      <x:c r="K88" s="1">
        <x:v>0</x:v>
      </x:c>
      <x:c r="L88" s="1" t="str">
        <x:f>L84</x:f>
        <x:v>Trap</x:v>
      </x:c>
      <x:c r="M88" s="1" t="str">
        <x:f t="shared" si="26"/>
        <x:v>Enemy</x:v>
      </x:c>
      <x:c r="N88" s="1" t="s">
        <x:v>35</x:v>
      </x:c>
      <x:c r="O88" s="1" t="s">
        <x:v>35</x:v>
      </x:c>
      <x:c r="P88" s="1">
        <x:v>1</x:v>
      </x:c>
      <x:c r="Q88" s="1">
        <x:f>Q84</x:f>
        <x:v>1.5</x:v>
      </x:c>
      <x:c r="R88" s="1">
        <x:f t="shared" si="1"/>
        <x:v>1305</x:v>
      </x:c>
    </x:row>
    <x:row r="89" spans="1:18">
      <x:c r="A89" s="1">
        <x:f t="shared" si="28"/>
        <x:v>2405</x:v>
      </x:c>
      <x:c r="B89" s="1" t="str">
        <x:f>B85</x:f>
        <x:v>(버프) 도끼 타워</x:v>
      </x:c>
      <x:c r="C89" s="1">
        <x:v>1</x:v>
      </x:c>
      <x:c r="D89" s="1">
        <x:v>0</x:v>
      </x:c>
      <x:c r="E89" s="1">
        <x:f>E85</x:f>
        <x:v>1</x:v>
      </x:c>
      <x:c r="F89" s="1">
        <x:v>1</x:v>
      </x:c>
      <x:c r="G89" s="1" t="b">
        <x:v>0</x:v>
      </x:c>
      <x:c r="H89" s="1">
        <x:v>0</x:v>
      </x:c>
      <x:c r="I89" s="1">
        <x:v>0</x:v>
      </x:c>
      <x:c r="J89" s="1">
        <x:f t="shared" si="27"/>
        <x:v>1</x:v>
      </x:c>
      <x:c r="K89" s="1">
        <x:f>IF(L89="Buff",1.4,25)</x:f>
        <x:v>1.3999999999999999</x:v>
      </x:c>
      <x:c r="L89" s="1" t="str">
        <x:f>L85</x:f>
        <x:v>Buff</x:v>
      </x:c>
      <x:c r="M89" s="1" t="str">
        <x:f t="shared" si="26"/>
        <x:v>Tower</x:v>
      </x:c>
      <x:c r="N89" s="1" t="str">
        <x:f>N85</x:f>
        <x:v>CriticalDamage</x:v>
      </x:c>
      <x:c r="O89" s="1" t="str">
        <x:f>O85</x:f>
        <x:v>None</x:v>
      </x:c>
      <x:c r="P89" s="1">
        <x:v>1</x:v>
      </x:c>
      <x:c r="Q89" s="1">
        <x:v>0</x:v>
      </x:c>
      <x:c r="R89" s="1">
        <x:f t="shared" si="1"/>
        <x:v>1405</x:v>
      </x:c>
    </x:row>
    <x:row r="90" spans="1:18">
      <x:c r="A90" s="1">
        <x:f t="shared" si="28"/>
        <x:v>3105</x:v>
      </x:c>
      <x:c r="B90" s="1" t="str">
        <x:f>B82</x:f>
        <x:v>(광역) 도끼 타워</x:v>
      </x:c>
      <x:c r="C90" s="1">
        <x:v>1</x:v>
      </x:c>
      <x:c r="D90" s="1">
        <x:f>ROUND(D86*2.25,2)</x:f>
        <x:v>8.7100000000000009</x:v>
      </x:c>
      <x:c r="E90" s="1">
        <x:f>ROUND(E86,2)</x:f>
        <x:v>2.1000000000000001</x:v>
      </x:c>
      <x:c r="F90" s="1">
        <x:f>ROUND(F86*2.2,2)</x:f>
        <x:v>0.83999999999999997</x:v>
      </x:c>
      <x:c r="G90" s="1" t="b">
        <x:v>0</x:v>
      </x:c>
      <x:c r="H90" s="1">
        <x:f>IF(H86*1.4&lt;=1,H86*1.4,1)</x:f>
        <x:v>0.0041999999999999998</x:v>
      </x:c>
      <x:c r="I90" s="1">
        <x:f>ROUND(I86*1.5,2)</x:f>
        <x:v>9.9000000000000004</x:v>
      </x:c>
      <x:c r="J90" s="1">
        <x:f>ROUND(J82*2,2)</x:f>
        <x:v>1</x:v>
      </x:c>
      <x:c r="K90" s="1">
        <x:v>60</x:v>
      </x:c>
      <x:c r="L90" s="1" t="str">
        <x:f t="shared" ref="L90:L101" si="29">L86</x:f>
        <x:v>Splash</x:v>
      </x:c>
      <x:c r="M90" s="1" t="str">
        <x:f t="shared" si="26"/>
        <x:v>Enemy</x:v>
      </x:c>
      <x:c r="N90" s="1" t="s">
        <x:v>35</x:v>
      </x:c>
      <x:c r="O90" s="1" t="s">
        <x:v>35</x:v>
      </x:c>
      <x:c r="P90" s="1">
        <x:v>10</x:v>
      </x:c>
      <x:c r="Q90" s="1">
        <x:f>Q82*1.5</x:f>
        <x:v>1.7999999999999998</x:v>
      </x:c>
      <x:c r="R90" s="1">
        <x:f t="shared" si="1"/>
        <x:v>2105</x:v>
      </x:c>
    </x:row>
    <x:row r="91" spans="1:18">
      <x:c r="A91" s="1">
        <x:f t="shared" si="28"/>
        <x:v>3205</x:v>
      </x:c>
      <x:c r="B91" s="1" t="str">
        <x:f>B83</x:f>
        <x:v>(단일) 도끼 타워</x:v>
      </x:c>
      <x:c r="C91" s="1">
        <x:v>1</x:v>
      </x:c>
      <x:c r="D91" s="1">
        <x:f>ROUND(D87*2,2)</x:f>
        <x:v>8.5</x:v>
      </x:c>
      <x:c r="E91" s="1">
        <x:f>ROUND(E87,2)</x:f>
        <x:v>2.1000000000000001</x:v>
      </x:c>
      <x:c r="F91" s="1">
        <x:f>ROUND(F87*2.4,2)</x:f>
        <x:v>1.0600000000000001</x:v>
      </x:c>
      <x:c r="G91" s="1" t="b">
        <x:v>0</x:v>
      </x:c>
      <x:c r="H91" s="1">
        <x:f>IF(H87*1.4&lt;=1,H87*1.4,1)</x:f>
        <x:v>0.0075599999999999989</x:v>
      </x:c>
      <x:c r="I91" s="1">
        <x:f>ROUND(I87*1.5,2)</x:f>
        <x:v>7.5599999999999996</x:v>
      </x:c>
      <x:c r="J91" s="1">
        <x:f t="shared" si="27"/>
        <x:v>0</x:v>
      </x:c>
      <x:c r="K91" s="1">
        <x:v>0</x:v>
      </x:c>
      <x:c r="L91" s="1" t="str">
        <x:f t="shared" si="29"/>
        <x:v>Target</x:v>
      </x:c>
      <x:c r="M91" s="1" t="str">
        <x:f t="shared" si="26"/>
        <x:v>Enemy</x:v>
      </x:c>
      <x:c r="N91" s="1" t="s">
        <x:v>35</x:v>
      </x:c>
      <x:c r="O91" s="1" t="s">
        <x:v>35</x:v>
      </x:c>
      <x:c r="P91" s="1">
        <x:v>15</x:v>
      </x:c>
      <x:c r="Q91" s="1">
        <x:v>0</x:v>
      </x:c>
      <x:c r="R91" s="1">
        <x:f t="shared" si="1"/>
        <x:v>2205</x:v>
      </x:c>
    </x:row>
    <x:row r="92" spans="1:18">
      <x:c r="A92" s="1">
        <x:f t="shared" si="28"/>
        <x:v>3305</x:v>
      </x:c>
      <x:c r="B92" s="1" t="str">
        <x:f>B84</x:f>
        <x:v>(함정) 도끼 타워</x:v>
      </x:c>
      <x:c r="C92" s="1">
        <x:v>1</x:v>
      </x:c>
      <x:c r="D92" s="1">
        <x:f>ROUND(D88*2.5,2)</x:f>
        <x:v>15</x:v>
      </x:c>
      <x:c r="E92" s="1">
        <x:f>ROUND(E88,2)</x:f>
        <x:v>2.1000000000000001</x:v>
      </x:c>
      <x:c r="F92" s="1">
        <x:f>ROUND(F88*2.2,2)</x:f>
        <x:v>0.23999999999999999</x:v>
      </x:c>
      <x:c r="G92" s="1" t="b">
        <x:v>0</x:v>
      </x:c>
      <x:c r="H92" s="1">
        <x:v>0</x:v>
      </x:c>
      <x:c r="I92" s="1">
        <x:v>0</x:v>
      </x:c>
      <x:c r="J92" s="1">
        <x:f t="shared" si="27"/>
        <x:v>30</x:v>
      </x:c>
      <x:c r="K92" s="1">
        <x:v>0</x:v>
      </x:c>
      <x:c r="L92" s="1" t="str">
        <x:f t="shared" si="29"/>
        <x:v>Trap</x:v>
      </x:c>
      <x:c r="M92" s="1" t="str">
        <x:f t="shared" si="26"/>
        <x:v>Enemy</x:v>
      </x:c>
      <x:c r="N92" s="1" t="s">
        <x:v>35</x:v>
      </x:c>
      <x:c r="O92" s="1" t="s">
        <x:v>35</x:v>
      </x:c>
      <x:c r="P92" s="1">
        <x:v>1</x:v>
      </x:c>
      <x:c r="Q92" s="1">
        <x:f>Q84*1.5</x:f>
        <x:v>2.25</x:v>
      </x:c>
      <x:c r="R92" s="1">
        <x:f t="shared" si="1"/>
        <x:v>2305</x:v>
      </x:c>
    </x:row>
    <x:row r="93" spans="1:18">
      <x:c r="A93" s="1">
        <x:f t="shared" si="28"/>
        <x:v>3405</x:v>
      </x:c>
      <x:c r="B93" s="1" t="str">
        <x:f>B85</x:f>
        <x:v>(버프) 도끼 타워</x:v>
      </x:c>
      <x:c r="C93" s="1">
        <x:v>1</x:v>
      </x:c>
      <x:c r="D93" s="1">
        <x:v>0</x:v>
      </x:c>
      <x:c r="E93" s="1">
        <x:f>E89+1</x:f>
        <x:v>2</x:v>
      </x:c>
      <x:c r="F93" s="1">
        <x:v>1</x:v>
      </x:c>
      <x:c r="G93" s="1" t="b">
        <x:v>0</x:v>
      </x:c>
      <x:c r="H93" s="1">
        <x:v>0</x:v>
      </x:c>
      <x:c r="I93" s="1">
        <x:v>0</x:v>
      </x:c>
      <x:c r="J93" s="1">
        <x:f t="shared" si="27"/>
        <x:v>1</x:v>
      </x:c>
      <x:c r="K93" s="1">
        <x:f>IF(L93="Buff",2,60)</x:f>
        <x:v>2</x:v>
      </x:c>
      <x:c r="L93" s="1" t="str">
        <x:f t="shared" si="29"/>
        <x:v>Buff</x:v>
      </x:c>
      <x:c r="M93" s="1" t="str">
        <x:f t="shared" si="26"/>
        <x:v>Tower</x:v>
      </x:c>
      <x:c r="N93" s="1" t="str">
        <x:f>N89</x:f>
        <x:v>CriticalDamage</x:v>
      </x:c>
      <x:c r="O93" s="1" t="str">
        <x:f>O89</x:f>
        <x:v>None</x:v>
      </x:c>
      <x:c r="P93" s="1">
        <x:v>1</x:v>
      </x:c>
      <x:c r="Q93" s="1">
        <x:v>0</x:v>
      </x:c>
      <x:c r="R93" s="1">
        <x:f t="shared" si="1"/>
        <x:v>2405</x:v>
      </x:c>
    </x:row>
    <x:row r="94" spans="1:18">
      <x:c r="A94" s="1">
        <x:f t="shared" si="28"/>
        <x:v>4105</x:v>
      </x:c>
      <x:c r="B94" s="1" t="str">
        <x:f>B82</x:f>
        <x:v>(광역) 도끼 타워</x:v>
      </x:c>
      <x:c r="C94" s="1">
        <x:v>1</x:v>
      </x:c>
      <x:c r="D94" s="1">
        <x:f>ROUND(D90*3,2)</x:f>
        <x:v>26.129999999999999</x:v>
      </x:c>
      <x:c r="E94" s="1">
        <x:f>ROUND(E90*1.1,2)</x:f>
        <x:v>2.3100000000000001</x:v>
      </x:c>
      <x:c r="F94" s="1">
        <x:f>ROUND(F90*2.5,2)</x:f>
        <x:v>2.1000000000000001</x:v>
      </x:c>
      <x:c r="G94" s="1" t="b">
        <x:v>0</x:v>
      </x:c>
      <x:c r="H94" s="1">
        <x:f>IF(H90*1.6&lt;=1,H90*1.6,1)</x:f>
        <x:v>0.0067200000000000004</x:v>
      </x:c>
      <x:c r="I94" s="1">
        <x:f>ROUND(I90*2,2)</x:f>
        <x:v>19.800000000000001</x:v>
      </x:c>
      <x:c r="J94" s="1">
        <x:f>ROUND(J82*3,2)</x:f>
        <x:v>1.5</x:v>
      </x:c>
      <x:c r="K94" s="1">
        <x:v>150</x:v>
      </x:c>
      <x:c r="L94" s="1" t="str">
        <x:f t="shared" si="29"/>
        <x:v>Splash</x:v>
      </x:c>
      <x:c r="M94" s="1" t="str">
        <x:f t="shared" si="26"/>
        <x:v>Enemy</x:v>
      </x:c>
      <x:c r="N94" s="1" t="s">
        <x:v>35</x:v>
      </x:c>
      <x:c r="O94" s="1" t="s">
        <x:v>35</x:v>
      </x:c>
      <x:c r="P94" s="1">
        <x:v>10</x:v>
      </x:c>
      <x:c r="Q94" s="1">
        <x:f>Q82*2</x:f>
        <x:v>2.3999999999999999</x:v>
      </x:c>
      <x:c r="R94" s="1">
        <x:f t="shared" si="1"/>
        <x:v>3105</x:v>
      </x:c>
    </x:row>
    <x:row r="95" spans="1:18">
      <x:c r="A95" s="1">
        <x:f t="shared" si="28"/>
        <x:v>4205</x:v>
      </x:c>
      <x:c r="B95" s="1" t="str">
        <x:f>B83</x:f>
        <x:v>(단일) 도끼 타워</x:v>
      </x:c>
      <x:c r="C95" s="1">
        <x:v>1</x:v>
      </x:c>
      <x:c r="D95" s="1">
        <x:f>ROUND(D91*3,2)</x:f>
        <x:v>25.5</x:v>
      </x:c>
      <x:c r="E95" s="1">
        <x:f>ROUND(E91*1.1,2)</x:f>
        <x:v>2.3100000000000001</x:v>
      </x:c>
      <x:c r="F95" s="1">
        <x:f>ROUND(F91*2.75,2)</x:f>
        <x:v>2.9199999999999999</x:v>
      </x:c>
      <x:c r="G95" s="1" t="b">
        <x:v>0</x:v>
      </x:c>
      <x:c r="H95" s="1">
        <x:f>IF(H91*1.6&lt;=1,H91*1.6,1)</x:f>
        <x:v>0.012095999999999997</x:v>
      </x:c>
      <x:c r="I95" s="1">
        <x:f>ROUND(I91*2,2)</x:f>
        <x:v>15.119999999999999</x:v>
      </x:c>
      <x:c r="J95" s="1">
        <x:f t="shared" si="27"/>
        <x:v>0</x:v>
      </x:c>
      <x:c r="K95" s="1">
        <x:v>0</x:v>
      </x:c>
      <x:c r="L95" s="1" t="str">
        <x:f t="shared" si="29"/>
        <x:v>Target</x:v>
      </x:c>
      <x:c r="M95" s="1" t="str">
        <x:f t="shared" si="26"/>
        <x:v>Enemy</x:v>
      </x:c>
      <x:c r="N95" s="1" t="s">
        <x:v>35</x:v>
      </x:c>
      <x:c r="O95" s="1" t="s">
        <x:v>35</x:v>
      </x:c>
      <x:c r="P95" s="1">
        <x:v>15</x:v>
      </x:c>
      <x:c r="Q95" s="1">
        <x:v>0</x:v>
      </x:c>
      <x:c r="R95" s="1">
        <x:f t="shared" si="1"/>
        <x:v>3205</x:v>
      </x:c>
    </x:row>
    <x:row r="96" spans="1:18">
      <x:c r="A96" s="1">
        <x:f t="shared" si="28"/>
        <x:v>4305</x:v>
      </x:c>
      <x:c r="B96" s="1" t="str">
        <x:f>B84</x:f>
        <x:v>(함정) 도끼 타워</x:v>
      </x:c>
      <x:c r="C96" s="1">
        <x:v>1</x:v>
      </x:c>
      <x:c r="D96" s="1">
        <x:f>ROUND(D92*3,2)</x:f>
        <x:v>45</x:v>
      </x:c>
      <x:c r="E96" s="1">
        <x:f>ROUND(E92*1.1,2)</x:f>
        <x:v>2.3100000000000001</x:v>
      </x:c>
      <x:c r="F96" s="1">
        <x:f>ROUND(F92*2.5,2)</x:f>
        <x:v>0.59999999999999998</x:v>
      </x:c>
      <x:c r="G96" s="1" t="b">
        <x:v>0</x:v>
      </x:c>
      <x:c r="H96" s="1">
        <x:v>0</x:v>
      </x:c>
      <x:c r="I96" s="1">
        <x:v>0</x:v>
      </x:c>
      <x:c r="J96" s="1">
        <x:f t="shared" si="27"/>
        <x:v>30</x:v>
      </x:c>
      <x:c r="K96" s="1">
        <x:v>0</x:v>
      </x:c>
      <x:c r="L96" s="1" t="str">
        <x:f t="shared" si="29"/>
        <x:v>Trap</x:v>
      </x:c>
      <x:c r="M96" s="1" t="str">
        <x:f t="shared" si="26"/>
        <x:v>Enemy</x:v>
      </x:c>
      <x:c r="N96" s="1" t="s">
        <x:v>35</x:v>
      </x:c>
      <x:c r="O96" s="1" t="s">
        <x:v>35</x:v>
      </x:c>
      <x:c r="P96" s="1">
        <x:v>1</x:v>
      </x:c>
      <x:c r="Q96" s="1">
        <x:f>Q84*2</x:f>
        <x:v>3</x:v>
      </x:c>
      <x:c r="R96" s="1">
        <x:f t="shared" si="1"/>
        <x:v>3305</x:v>
      </x:c>
    </x:row>
    <x:row r="97" spans="1:18">
      <x:c r="A97" s="1">
        <x:f t="shared" si="28"/>
        <x:v>4405</x:v>
      </x:c>
      <x:c r="B97" s="1" t="str">
        <x:f>B85</x:f>
        <x:v>(버프) 도끼 타워</x:v>
      </x:c>
      <x:c r="C97" s="1">
        <x:v>1</x:v>
      </x:c>
      <x:c r="D97" s="1">
        <x:v>0</x:v>
      </x:c>
      <x:c r="E97" s="1">
        <x:f>E93+2</x:f>
        <x:v>4</x:v>
      </x:c>
      <x:c r="F97" s="1">
        <x:v>1</x:v>
      </x:c>
      <x:c r="G97" s="1" t="b">
        <x:v>0</x:v>
      </x:c>
      <x:c r="H97" s="1">
        <x:v>0</x:v>
      </x:c>
      <x:c r="I97" s="1">
        <x:v>0</x:v>
      </x:c>
      <x:c r="J97" s="1">
        <x:f t="shared" si="27"/>
        <x:v>1</x:v>
      </x:c>
      <x:c r="K97" s="1">
        <x:f>IF(L97="Buff",3,150)</x:f>
        <x:v>3</x:v>
      </x:c>
      <x:c r="L97" s="1" t="str">
        <x:f t="shared" si="29"/>
        <x:v>Buff</x:v>
      </x:c>
      <x:c r="M97" s="1" t="str">
        <x:f t="shared" si="26"/>
        <x:v>Tower</x:v>
      </x:c>
      <x:c r="N97" s="1" t="str">
        <x:f>N93</x:f>
        <x:v>CriticalDamage</x:v>
      </x:c>
      <x:c r="O97" s="1" t="str">
        <x:f>O93</x:f>
        <x:v>None</x:v>
      </x:c>
      <x:c r="P97" s="1">
        <x:v>1</x:v>
      </x:c>
      <x:c r="Q97" s="1">
        <x:v>0</x:v>
      </x:c>
      <x:c r="R97" s="1">
        <x:f t="shared" si="1"/>
        <x:v>3405</x:v>
      </x:c>
    </x:row>
    <x:row r="98" spans="1:18">
      <x:c r="A98" s="1">
        <x:f t="shared" si="28"/>
        <x:v>5105</x:v>
      </x:c>
      <x:c r="B98" s="1" t="str">
        <x:f>B82</x:f>
        <x:v>(광역) 도끼 타워</x:v>
      </x:c>
      <x:c r="C98" s="1">
        <x:v>1</x:v>
      </x:c>
      <x:c r="D98" s="1">
        <x:f>ROUND(D94*4.2,2)</x:f>
        <x:v>109.75</x:v>
      </x:c>
      <x:c r="E98" s="1">
        <x:f>ROUND(E94*1.25,2)</x:f>
        <x:v>2.8900000000000001</x:v>
      </x:c>
      <x:c r="F98" s="1">
        <x:f>ROUND(F94*3,2)</x:f>
        <x:v>6.2999999999999998</x:v>
      </x:c>
      <x:c r="G98" s="1" t="b">
        <x:v>0</x:v>
      </x:c>
      <x:c r="H98" s="1">
        <x:f>IF(H94*1.8&lt;=1,H94*1.8,1)</x:f>
        <x:v>0.012096000000000001</x:v>
      </x:c>
      <x:c r="I98" s="1">
        <x:f>ROUND(I94*2.8,2)</x:f>
        <x:v>55.439999999999998</x:v>
      </x:c>
      <x:c r="J98" s="1">
        <x:f>ROUND(J82*5,2)</x:f>
        <x:v>2.5</x:v>
      </x:c>
      <x:c r="K98" s="1">
        <x:v>525</x:v>
      </x:c>
      <x:c r="L98" s="1" t="str">
        <x:f t="shared" si="29"/>
        <x:v>Splash</x:v>
      </x:c>
      <x:c r="M98" s="1" t="str">
        <x:f t="shared" si="26"/>
        <x:v>Enemy</x:v>
      </x:c>
      <x:c r="N98" s="1" t="s">
        <x:v>35</x:v>
      </x:c>
      <x:c r="O98" s="1" t="s">
        <x:v>35</x:v>
      </x:c>
      <x:c r="P98" s="1">
        <x:v>10</x:v>
      </x:c>
      <x:c r="Q98" s="1">
        <x:f>Q82*3</x:f>
        <x:v>3.5999999999999996</x:v>
      </x:c>
      <x:c r="R98" s="1">
        <x:f t="shared" si="1"/>
        <x:v>4105</x:v>
      </x:c>
    </x:row>
    <x:row r="99" spans="1:18">
      <x:c r="A99" s="1">
        <x:f t="shared" si="28"/>
        <x:v>5205</x:v>
      </x:c>
      <x:c r="B99" s="1" t="str">
        <x:f>B83</x:f>
        <x:v>(단일) 도끼 타워</x:v>
      </x:c>
      <x:c r="C99" s="1">
        <x:v>1</x:v>
      </x:c>
      <x:c r="D99" s="1">
        <x:f>ROUND(D95*5,2)</x:f>
        <x:v>127.5</x:v>
      </x:c>
      <x:c r="E99" s="1">
        <x:f t="shared" ref="E99:E100" si="30">ROUND(E95*1.25,2)</x:f>
        <x:v>2.8900000000000001</x:v>
      </x:c>
      <x:c r="F99" s="1">
        <x:f>ROUND(F95*4,2)</x:f>
        <x:v>11.68</x:v>
      </x:c>
      <x:c r="G99" s="1" t="b">
        <x:v>0</x:v>
      </x:c>
      <x:c r="H99" s="1">
        <x:f>IF(H95*1.8&lt;=1,H95*1.8,1)</x:f>
        <x:v>0.021772799999999998</x:v>
      </x:c>
      <x:c r="I99" s="1">
        <x:f>ROUND(I95*2.8,2)</x:f>
        <x:v>42.340000000000003</x:v>
      </x:c>
      <x:c r="J99" s="1">
        <x:f t="shared" si="27"/>
        <x:v>0</x:v>
      </x:c>
      <x:c r="K99" s="1">
        <x:v>0</x:v>
      </x:c>
      <x:c r="L99" s="1" t="str">
        <x:f t="shared" si="29"/>
        <x:v>Target</x:v>
      </x:c>
      <x:c r="M99" s="1" t="str">
        <x:f t="shared" si="26"/>
        <x:v>Enemy</x:v>
      </x:c>
      <x:c r="N99" s="1" t="s">
        <x:v>35</x:v>
      </x:c>
      <x:c r="O99" s="1" t="s">
        <x:v>35</x:v>
      </x:c>
      <x:c r="P99" s="1">
        <x:v>15</x:v>
      </x:c>
      <x:c r="Q99" s="1">
        <x:v>0</x:v>
      </x:c>
      <x:c r="R99" s="1">
        <x:f t="shared" si="1"/>
        <x:v>4205</x:v>
      </x:c>
    </x:row>
    <x:row r="100" spans="1:18">
      <x:c r="A100" s="1">
        <x:f t="shared" si="28"/>
        <x:v>5305</x:v>
      </x:c>
      <x:c r="B100" s="1" t="str">
        <x:f>B84</x:f>
        <x:v>(함정) 도끼 타워</x:v>
      </x:c>
      <x:c r="C100" s="1">
        <x:v>1</x:v>
      </x:c>
      <x:c r="D100" s="1">
        <x:f>ROUND(D96*5,2)</x:f>
        <x:v>225</x:v>
      </x:c>
      <x:c r="E100" s="1">
        <x:f t="shared" si="30"/>
        <x:v>2.8900000000000001</x:v>
      </x:c>
      <x:c r="F100" s="1">
        <x:f>ROUND(F96*3,2)</x:f>
        <x:v>1.8</x:v>
      </x:c>
      <x:c r="G100" s="1" t="b">
        <x:v>0</x:v>
      </x:c>
      <x:c r="H100" s="1">
        <x:v>0</x:v>
      </x:c>
      <x:c r="I100" s="1">
        <x:v>0</x:v>
      </x:c>
      <x:c r="J100" s="1">
        <x:f t="shared" si="27"/>
        <x:v>30</x:v>
      </x:c>
      <x:c r="K100" s="1">
        <x:v>0</x:v>
      </x:c>
      <x:c r="L100" s="1" t="str">
        <x:f t="shared" si="29"/>
        <x:v>Trap</x:v>
      </x:c>
      <x:c r="M100" s="1" t="str">
        <x:f t="shared" si="26"/>
        <x:v>Enemy</x:v>
      </x:c>
      <x:c r="N100" s="1" t="s">
        <x:v>35</x:v>
      </x:c>
      <x:c r="O100" s="1" t="s">
        <x:v>35</x:v>
      </x:c>
      <x:c r="P100" s="1">
        <x:v>1</x:v>
      </x:c>
      <x:c r="Q100" s="1">
        <x:f>Q84*3</x:f>
        <x:v>4.5</x:v>
      </x:c>
      <x:c r="R100" s="1">
        <x:f t="shared" si="1"/>
        <x:v>4305</x:v>
      </x:c>
    </x:row>
    <x:row r="101" spans="1:18">
      <x:c r="A101" s="1">
        <x:f t="shared" si="28"/>
        <x:v>5405</x:v>
      </x:c>
      <x:c r="B101" s="1" t="str">
        <x:f>B85</x:f>
        <x:v>(버프) 도끼 타워</x:v>
      </x:c>
      <x:c r="C101" s="1">
        <x:v>1</x:v>
      </x:c>
      <x:c r="D101" s="1">
        <x:v>0</x:v>
      </x:c>
      <x:c r="E101" s="1">
        <x:f>E97+3</x:f>
        <x:v>7</x:v>
      </x:c>
      <x:c r="F101" s="1">
        <x:v>1</x:v>
      </x:c>
      <x:c r="G101" s="1" t="b">
        <x:v>0</x:v>
      </x:c>
      <x:c r="H101" s="1">
        <x:v>0</x:v>
      </x:c>
      <x:c r="I101" s="1">
        <x:v>0</x:v>
      </x:c>
      <x:c r="J101" s="1">
        <x:f t="shared" si="27"/>
        <x:v>1</x:v>
      </x:c>
      <x:c r="K101" s="1">
        <x:f>IF(L101="Buff",5,525)</x:f>
        <x:v>5</x:v>
      </x:c>
      <x:c r="L101" s="1" t="str">
        <x:f t="shared" si="29"/>
        <x:v>Buff</x:v>
      </x:c>
      <x:c r="M101" s="1" t="str">
        <x:f t="shared" si="26"/>
        <x:v>Tower</x:v>
      </x:c>
      <x:c r="N101" s="1" t="str">
        <x:f>N97</x:f>
        <x:v>CriticalDamage</x:v>
      </x:c>
      <x:c r="O101" s="1" t="str">
        <x:f>O97</x:f>
        <x:v>None</x:v>
      </x:c>
      <x:c r="P101" s="1">
        <x:v>1</x:v>
      </x:c>
      <x:c r="Q101" s="1">
        <x:v>0</x:v>
      </x:c>
      <x:c r="R101" s="1">
        <x:f t="shared" si="1"/>
        <x:v>4405</x:v>
      </x:c>
    </x:row>
    <x:row r="102" spans="1:18">
      <x:c r="A102" s="1">
        <x:v>1106</x:v>
      </x:c>
      <x:c r="B102" s="1" t="s">
        <x:v>57</x:v>
      </x:c>
      <x:c r="C102" s="1">
        <x:v>1</x:v>
      </x:c>
      <x:c r="D102" s="1">
        <x:v>4.0999999999999996</x:v>
      </x:c>
      <x:c r="E102" s="1">
        <x:v>2.5</x:v>
      </x:c>
      <x:c r="F102" s="1">
        <x:v>0.12</x:v>
      </x:c>
      <x:c r="G102" s="1" t="b">
        <x:v>0</x:v>
      </x:c>
      <x:c r="H102" s="1">
        <x:v>0.010000000000000001</x:v>
      </x:c>
      <x:c r="I102" s="1">
        <x:v>0.028000000000000003</x:v>
      </x:c>
      <x:c r="J102" s="1">
        <x:v>0.5</x:v>
      </x:c>
      <x:c r="K102" s="1">
        <x:v>10</x:v>
      </x:c>
      <x:c r="L102" s="1" t="s">
        <x:v>29</x:v>
      </x:c>
      <x:c r="M102" s="1" t="str">
        <x:f t="shared" ref="M102:M104" si="31">IF(L102="Buff","Tower","Enemy")</x:f>
        <x:v>Enemy</x:v>
      </x:c>
      <x:c r="N102" s="1" t="s">
        <x:v>35</x:v>
      </x:c>
      <x:c r="O102" s="1" t="s">
        <x:v>17</x:v>
      </x:c>
      <x:c r="P102" s="1">
        <x:v>10</x:v>
      </x:c>
      <x:c r="Q102" s="1">
        <x:v>3</x:v>
      </x:c>
      <x:c r="R102" s="1">
        <x:f t="shared" si="1"/>
        <x:v>106</x:v>
      </x:c>
    </x:row>
    <x:row r="103" spans="1:18">
      <x:c r="A103" s="1">
        <x:f>A102+100</x:f>
        <x:v>1206</x:v>
      </x:c>
      <x:c r="B103" s="1" t="s">
        <x:v>64</x:v>
      </x:c>
      <x:c r="C103" s="1">
        <x:v>1</x:v>
      </x:c>
      <x:c r="D103" s="1">
        <x:v>3.3999999999999999</x:v>
      </x:c>
      <x:c r="E103" s="1">
        <x:v>2.5</x:v>
      </x:c>
      <x:c r="F103" s="1">
        <x:v>0.17999999999999999</x:v>
      </x:c>
      <x:c r="G103" s="1" t="b">
        <x:v>0</x:v>
      </x:c>
      <x:c r="H103" s="1">
        <x:v>0.020000000000000001</x:v>
      </x:c>
      <x:c r="I103" s="1">
        <x:v>0.019</x:v>
      </x:c>
      <x:c r="J103" s="1">
        <x:v>0</x:v>
      </x:c>
      <x:c r="K103" s="1">
        <x:v>0</x:v>
      </x:c>
      <x:c r="L103" s="1" t="s">
        <x:v>26</x:v>
      </x:c>
      <x:c r="M103" s="1" t="str">
        <x:f t="shared" si="31"/>
        <x:v>Enemy</x:v>
      </x:c>
      <x:c r="N103" s="1" t="s">
        <x:v>35</x:v>
      </x:c>
      <x:c r="O103" s="1" t="s">
        <x:v>35</x:v>
      </x:c>
      <x:c r="P103" s="1">
        <x:v>15</x:v>
      </x:c>
      <x:c r="Q103" s="1">
        <x:v>0</x:v>
      </x:c>
      <x:c r="R103" s="1">
        <x:f t="shared" si="1"/>
        <x:v>206</x:v>
      </x:c>
    </x:row>
    <x:row r="104" spans="1:18">
      <x:c r="A104" s="1">
        <x:f>A102+200</x:f>
        <x:v>1306</x:v>
      </x:c>
      <x:c r="B104" s="1" t="s">
        <x:v>7</x:v>
      </x:c>
      <x:c r="C104" s="1">
        <x:v>1</x:v>
      </x:c>
      <x:c r="D104" s="1">
        <x:v>3.2000000000000002</x:v>
      </x:c>
      <x:c r="E104" s="1">
        <x:v>2.5</x:v>
      </x:c>
      <x:c r="F104" s="1">
        <x:v>0.05</x:v>
      </x:c>
      <x:c r="G104" s="1" t="b">
        <x:v>0</x:v>
      </x:c>
      <x:c r="H104" s="1">
        <x:v>0</x:v>
      </x:c>
      <x:c r="I104" s="1">
        <x:v>0</x:v>
      </x:c>
      <x:c r="J104" s="1">
        <x:v>30</x:v>
      </x:c>
      <x:c r="K104" s="1">
        <x:v>0</x:v>
      </x:c>
      <x:c r="L104" s="1" t="s">
        <x:v>42</x:v>
      </x:c>
      <x:c r="M104" s="1" t="str">
        <x:f t="shared" si="31"/>
        <x:v>Enemy</x:v>
      </x:c>
      <x:c r="N104" s="1" t="s">
        <x:v>35</x:v>
      </x:c>
      <x:c r="O104" s="1" t="s">
        <x:v>35</x:v>
      </x:c>
      <x:c r="P104" s="1">
        <x:v>1</x:v>
      </x:c>
      <x:c r="Q104" s="1">
        <x:v>2</x:v>
      </x:c>
      <x:c r="R104" s="1">
        <x:f t="shared" si="1"/>
        <x:v>306</x:v>
      </x:c>
    </x:row>
    <x:row r="105" spans="1:18">
      <x:c r="A105" s="1">
        <x:f>A102+300</x:f>
        <x:v>1406</x:v>
      </x:c>
      <x:c r="B105" s="1" t="s">
        <x:v>18</x:v>
      </x:c>
      <x:c r="C105" s="1">
        <x:v>1</x:v>
      </x:c>
      <x:c r="D105" s="1">
        <x:v>0</x:v>
      </x:c>
      <x:c r="E105" s="1">
        <x:v>1</x:v>
      </x:c>
      <x:c r="F105" s="1">
        <x:v>1</x:v>
      </x:c>
      <x:c r="G105" s="1" t="b">
        <x:v>0</x:v>
      </x:c>
      <x:c r="H105" s="1">
        <x:v>0</x:v>
      </x:c>
      <x:c r="I105" s="1">
        <x:v>0</x:v>
      </x:c>
      <x:c r="J105" s="1">
        <x:v>1</x:v>
      </x:c>
      <x:c r="K105" s="1">
        <x:v>10</x:v>
      </x:c>
      <x:c r="L105" s="1" t="s">
        <x:v>32</x:v>
      </x:c>
      <x:c r="M105" s="1" t="str">
        <x:f>IF(L105="Buff","Tower","Enemy")</x:f>
        <x:v>Tower</x:v>
      </x:c>
      <x:c r="N105" s="1" t="s">
        <x:v>17</x:v>
      </x:c>
      <x:c r="O105" s="1" t="s">
        <x:v>35</x:v>
      </x:c>
      <x:c r="P105" s="1">
        <x:v>1</x:v>
      </x:c>
      <x:c r="Q105" s="1">
        <x:v>0</x:v>
      </x:c>
      <x:c r="R105" s="1">
        <x:f t="shared" si="1"/>
        <x:v>406</x:v>
      </x:c>
    </x:row>
    <x:row r="106" spans="1:18">
      <x:c r="A106" s="1">
        <x:f>A102+1000</x:f>
        <x:v>2106</x:v>
      </x:c>
      <x:c r="B106" s="1" t="str">
        <x:f>B102</x:f>
        <x:v>(광역) 불 타워</x:v>
      </x:c>
      <x:c r="C106" s="1">
        <x:v>1</x:v>
      </x:c>
      <x:c r="D106" s="1">
        <x:f>ROUND(D102*1.8,2)</x:f>
        <x:v>7.3799999999999999</x:v>
      </x:c>
      <x:c r="E106" s="1">
        <x:f>ROUND(E102,2)</x:f>
        <x:v>2.5</x:v>
      </x:c>
      <x:c r="F106" s="1">
        <x:f>ROUND(F102*2.1,2)</x:f>
        <x:v>0.25</x:v>
      </x:c>
      <x:c r="G106" s="1" t="b">
        <x:v>0</x:v>
      </x:c>
      <x:c r="H106" s="1">
        <x:f>IF(H102*1.2&lt;=1,H102*1.2,1)</x:f>
        <x:v>0.012</x:v>
      </x:c>
      <x:c r="I106" s="1">
        <x:f>ROUND(I102*1.2,2)</x:f>
        <x:v>0.029999999999999999</x:v>
      </x:c>
      <x:c r="J106" s="1">
        <x:f>ROUND(J102*1.5,2)</x:f>
        <x:v>0.75</x:v>
      </x:c>
      <x:c r="K106" s="1">
        <x:v>50</x:v>
      </x:c>
      <x:c r="L106" s="1" t="str">
        <x:f>L102</x:f>
        <x:v>Splash</x:v>
      </x:c>
      <x:c r="M106" s="1" t="str">
        <x:f t="shared" ref="M106:M121" si="32">IF(L106="Buff","Tower","Enemy")</x:f>
        <x:v>Enemy</x:v>
      </x:c>
      <x:c r="N106" s="1" t="s">
        <x:v>35</x:v>
      </x:c>
      <x:c r="O106" s="1" t="str">
        <x:f>O102</x:f>
        <x:v>DotDamage</x:v>
      </x:c>
      <x:c r="P106" s="1">
        <x:v>10</x:v>
      </x:c>
      <x:c r="Q106" s="1">
        <x:f>Q102</x:f>
        <x:v>3</x:v>
      </x:c>
      <x:c r="R106" s="1">
        <x:f t="shared" si="1"/>
        <x:v>1106</x:v>
      </x:c>
    </x:row>
    <x:row r="107" spans="1:18">
      <x:c r="A107" s="1">
        <x:f>A103+1000</x:f>
        <x:v>2206</x:v>
      </x:c>
      <x:c r="B107" s="1" t="str">
        <x:f>B103</x:f>
        <x:v>(단일) 불 타워</x:v>
      </x:c>
      <x:c r="C107" s="1">
        <x:v>1</x:v>
      </x:c>
      <x:c r="D107" s="1">
        <x:f>ROUND(D103*1.7,2)</x:f>
        <x:v>5.7800000000000002</x:v>
      </x:c>
      <x:c r="E107" s="1">
        <x:f>ROUND(E103,2)</x:f>
        <x:v>2.5</x:v>
      </x:c>
      <x:c r="F107" s="1">
        <x:f>ROUND(F103*2.2,2)</x:f>
        <x:v>0.40000000000000002</x:v>
      </x:c>
      <x:c r="G107" s="1" t="b">
        <x:v>0</x:v>
      </x:c>
      <x:c r="H107" s="1">
        <x:f>IF(H103*1.2&lt;=1,H103*1.2,1)</x:f>
        <x:v>0.023999999999999999</x:v>
      </x:c>
      <x:c r="I107" s="1">
        <x:f>ROUND(I103*1.2,2)</x:f>
        <x:v>0.020000000000000001</x:v>
      </x:c>
      <x:c r="J107" s="1">
        <x:f t="shared" ref="J107:J121" si="33">J103</x:f>
        <x:v>0</x:v>
      </x:c>
      <x:c r="K107" s="1">
        <x:v>0</x:v>
      </x:c>
      <x:c r="L107" s="1" t="str">
        <x:f>L103</x:f>
        <x:v>Target</x:v>
      </x:c>
      <x:c r="M107" s="1" t="str">
        <x:f t="shared" si="32"/>
        <x:v>Enemy</x:v>
      </x:c>
      <x:c r="N107" s="1" t="s">
        <x:v>35</x:v>
      </x:c>
      <x:c r="O107" s="1" t="s">
        <x:v>35</x:v>
      </x:c>
      <x:c r="P107" s="1">
        <x:v>15</x:v>
      </x:c>
      <x:c r="Q107" s="1">
        <x:v>0</x:v>
      </x:c>
      <x:c r="R107" s="1">
        <x:f t="shared" si="1"/>
        <x:v>1206</x:v>
      </x:c>
    </x:row>
    <x:row r="108" spans="1:18">
      <x:c r="A108" s="1">
        <x:f t="shared" ref="A108:A121" si="34">A104+1000</x:f>
        <x:v>2306</x:v>
      </x:c>
      <x:c r="B108" s="1" t="str">
        <x:f>B104</x:f>
        <x:v>(함정) 불 타워</x:v>
      </x:c>
      <x:c r="C108" s="1">
        <x:v>1</x:v>
      </x:c>
      <x:c r="D108" s="1">
        <x:f>ROUND(D104*2,2)</x:f>
        <x:v>6.4000000000000004</x:v>
      </x:c>
      <x:c r="E108" s="1">
        <x:f>ROUND(E104,2)</x:f>
        <x:v>2.5</x:v>
      </x:c>
      <x:c r="F108" s="1">
        <x:f>ROUND(F104*2.1,2)</x:f>
        <x:v>0.11</x:v>
      </x:c>
      <x:c r="G108" s="1" t="b">
        <x:v>0</x:v>
      </x:c>
      <x:c r="H108" s="1">
        <x:v>0</x:v>
      </x:c>
      <x:c r="I108" s="1">
        <x:v>0</x:v>
      </x:c>
      <x:c r="J108" s="1">
        <x:f t="shared" si="33"/>
        <x:v>30</x:v>
      </x:c>
      <x:c r="K108" s="1">
        <x:v>0</x:v>
      </x:c>
      <x:c r="L108" s="1" t="str">
        <x:f>L104</x:f>
        <x:v>Trap</x:v>
      </x:c>
      <x:c r="M108" s="1" t="str">
        <x:f t="shared" si="32"/>
        <x:v>Enemy</x:v>
      </x:c>
      <x:c r="N108" s="1" t="s">
        <x:v>35</x:v>
      </x:c>
      <x:c r="O108" s="1" t="s">
        <x:v>35</x:v>
      </x:c>
      <x:c r="P108" s="1">
        <x:v>1</x:v>
      </x:c>
      <x:c r="Q108" s="1">
        <x:f>Q104</x:f>
        <x:v>2</x:v>
      </x:c>
      <x:c r="R108" s="1">
        <x:f t="shared" si="1"/>
        <x:v>1306</x:v>
      </x:c>
    </x:row>
    <x:row r="109" spans="1:18">
      <x:c r="A109" s="1">
        <x:f t="shared" si="34"/>
        <x:v>2406</x:v>
      </x:c>
      <x:c r="B109" s="1" t="str">
        <x:f>B105</x:f>
        <x:v>(버프) 불 타워</x:v>
      </x:c>
      <x:c r="C109" s="1">
        <x:v>1</x:v>
      </x:c>
      <x:c r="D109" s="1">
        <x:v>0</x:v>
      </x:c>
      <x:c r="E109" s="1">
        <x:f>E105+0</x:f>
        <x:v>1</x:v>
      </x:c>
      <x:c r="F109" s="1">
        <x:v>1</x:v>
      </x:c>
      <x:c r="G109" s="1" t="b">
        <x:v>0</x:v>
      </x:c>
      <x:c r="H109" s="1">
        <x:v>0</x:v>
      </x:c>
      <x:c r="I109" s="1">
        <x:v>0</x:v>
      </x:c>
      <x:c r="J109" s="1">
        <x:f t="shared" si="33"/>
        <x:v>1</x:v>
      </x:c>
      <x:c r="K109" s="1">
        <x:v>50</x:v>
      </x:c>
      <x:c r="L109" s="1" t="str">
        <x:f>L105</x:f>
        <x:v>Buff</x:v>
      </x:c>
      <x:c r="M109" s="1" t="str">
        <x:f t="shared" si="32"/>
        <x:v>Tower</x:v>
      </x:c>
      <x:c r="N109" s="1" t="str">
        <x:f>N105</x:f>
        <x:v>DotDamage</x:v>
      </x:c>
      <x:c r="O109" s="1" t="str">
        <x:f>O105</x:f>
        <x:v>None</x:v>
      </x:c>
      <x:c r="P109" s="1">
        <x:v>1</x:v>
      </x:c>
      <x:c r="Q109" s="1">
        <x:v>0</x:v>
      </x:c>
      <x:c r="R109" s="1">
        <x:f t="shared" si="1"/>
        <x:v>1406</x:v>
      </x:c>
    </x:row>
    <x:row r="110" spans="1:18">
      <x:c r="A110" s="1">
        <x:f t="shared" si="34"/>
        <x:v>3106</x:v>
      </x:c>
      <x:c r="B110" s="1" t="str">
        <x:f>B102</x:f>
        <x:v>(광역) 불 타워</x:v>
      </x:c>
      <x:c r="C110" s="1">
        <x:v>1</x:v>
      </x:c>
      <x:c r="D110" s="1">
        <x:f>ROUND(D106*2.25,2)</x:f>
        <x:v>16.609999999999999</x:v>
      </x:c>
      <x:c r="E110" s="1">
        <x:f>ROUND(E106,2)</x:f>
        <x:v>2.5</x:v>
      </x:c>
      <x:c r="F110" s="1">
        <x:f>ROUND(F106*2.2,2)</x:f>
        <x:v>0.55000000000000004</x:v>
      </x:c>
      <x:c r="G110" s="1" t="b">
        <x:v>0</x:v>
      </x:c>
      <x:c r="H110" s="1">
        <x:f>IF(H106*1.4&lt;=1,H106*1.4,1)</x:f>
        <x:v>0.016799999999999998</x:v>
      </x:c>
      <x:c r="I110" s="1">
        <x:f>ROUND(I106*1.5,2)</x:f>
        <x:v>0.05</x:v>
      </x:c>
      <x:c r="J110" s="1">
        <x:f>ROUND(J102*2,2)</x:f>
        <x:v>1</x:v>
      </x:c>
      <x:c r="K110" s="1">
        <x:v>120</x:v>
      </x:c>
      <x:c r="L110" s="1" t="str">
        <x:f t="shared" ref="L110:L121" si="35">L106</x:f>
        <x:v>Splash</x:v>
      </x:c>
      <x:c r="M110" s="1" t="str">
        <x:f t="shared" si="32"/>
        <x:v>Enemy</x:v>
      </x:c>
      <x:c r="N110" s="1" t="s">
        <x:v>35</x:v>
      </x:c>
      <x:c r="O110" s="1" t="str">
        <x:f>O102</x:f>
        <x:v>DotDamage</x:v>
      </x:c>
      <x:c r="P110" s="1">
        <x:v>10</x:v>
      </x:c>
      <x:c r="Q110" s="1">
        <x:f>Q102*1.5</x:f>
        <x:v>4.5</x:v>
      </x:c>
      <x:c r="R110" s="1">
        <x:f t="shared" si="1"/>
        <x:v>2106</x:v>
      </x:c>
    </x:row>
    <x:row r="111" spans="1:18">
      <x:c r="A111" s="1">
        <x:f t="shared" si="34"/>
        <x:v>3206</x:v>
      </x:c>
      <x:c r="B111" s="1" t="str">
        <x:f>B103</x:f>
        <x:v>(단일) 불 타워</x:v>
      </x:c>
      <x:c r="C111" s="1">
        <x:v>1</x:v>
      </x:c>
      <x:c r="D111" s="1">
        <x:f>ROUND(D107*2,2)</x:f>
        <x:v>11.56</x:v>
      </x:c>
      <x:c r="E111" s="1">
        <x:f>ROUND(E107,2)</x:f>
        <x:v>2.5</x:v>
      </x:c>
      <x:c r="F111" s="1">
        <x:f>ROUND(F107*2.4,2)</x:f>
        <x:v>0.95999999999999996</x:v>
      </x:c>
      <x:c r="G111" s="1" t="b">
        <x:v>0</x:v>
      </x:c>
      <x:c r="H111" s="1">
        <x:f>IF(H107*1.4&lt;=1,H107*1.4,1)</x:f>
        <x:v>0.033599999999999997</x:v>
      </x:c>
      <x:c r="I111" s="1">
        <x:f>ROUND(I107*1.5,2)</x:f>
        <x:v>0.029999999999999999</x:v>
      </x:c>
      <x:c r="J111" s="1">
        <x:f t="shared" si="33"/>
        <x:v>0</x:v>
      </x:c>
      <x:c r="K111" s="1">
        <x:v>0</x:v>
      </x:c>
      <x:c r="L111" s="1" t="str">
        <x:f t="shared" si="35"/>
        <x:v>Target</x:v>
      </x:c>
      <x:c r="M111" s="1" t="str">
        <x:f t="shared" si="32"/>
        <x:v>Enemy</x:v>
      </x:c>
      <x:c r="N111" s="1" t="s">
        <x:v>35</x:v>
      </x:c>
      <x:c r="O111" s="1" t="s">
        <x:v>35</x:v>
      </x:c>
      <x:c r="P111" s="1">
        <x:v>15</x:v>
      </x:c>
      <x:c r="Q111" s="1">
        <x:v>0</x:v>
      </x:c>
      <x:c r="R111" s="1">
        <x:f t="shared" si="1"/>
        <x:v>2206</x:v>
      </x:c>
    </x:row>
    <x:row r="112" spans="1:18">
      <x:c r="A112" s="1">
        <x:f t="shared" si="34"/>
        <x:v>3306</x:v>
      </x:c>
      <x:c r="B112" s="1" t="str">
        <x:f>B104</x:f>
        <x:v>(함정) 불 타워</x:v>
      </x:c>
      <x:c r="C112" s="1">
        <x:v>1</x:v>
      </x:c>
      <x:c r="D112" s="1">
        <x:f>ROUND(D108*2.5,2)</x:f>
        <x:v>16</x:v>
      </x:c>
      <x:c r="E112" s="1">
        <x:f>ROUND(E108,2)</x:f>
        <x:v>2.5</x:v>
      </x:c>
      <x:c r="F112" s="1">
        <x:f>ROUND(F108*2.2,2)</x:f>
        <x:v>0.23999999999999999</x:v>
      </x:c>
      <x:c r="G112" s="1" t="b">
        <x:v>0</x:v>
      </x:c>
      <x:c r="H112" s="1">
        <x:v>0</x:v>
      </x:c>
      <x:c r="I112" s="1">
        <x:v>0</x:v>
      </x:c>
      <x:c r="J112" s="1">
        <x:f t="shared" si="33"/>
        <x:v>30</x:v>
      </x:c>
      <x:c r="K112" s="1">
        <x:v>0</x:v>
      </x:c>
      <x:c r="L112" s="1" t="str">
        <x:f t="shared" si="35"/>
        <x:v>Trap</x:v>
      </x:c>
      <x:c r="M112" s="1" t="str">
        <x:f t="shared" si="32"/>
        <x:v>Enemy</x:v>
      </x:c>
      <x:c r="N112" s="1" t="s">
        <x:v>35</x:v>
      </x:c>
      <x:c r="O112" s="1" t="s">
        <x:v>35</x:v>
      </x:c>
      <x:c r="P112" s="1">
        <x:v>1</x:v>
      </x:c>
      <x:c r="Q112" s="1">
        <x:f>Q104*1.5</x:f>
        <x:v>3</x:v>
      </x:c>
      <x:c r="R112" s="1">
        <x:f t="shared" si="1"/>
        <x:v>2306</x:v>
      </x:c>
    </x:row>
    <x:row r="113" spans="1:18">
      <x:c r="A113" s="1">
        <x:f t="shared" si="34"/>
        <x:v>3406</x:v>
      </x:c>
      <x:c r="B113" s="1" t="str">
        <x:f>B105</x:f>
        <x:v>(버프) 불 타워</x:v>
      </x:c>
      <x:c r="C113" s="1">
        <x:v>1</x:v>
      </x:c>
      <x:c r="D113" s="1">
        <x:v>0</x:v>
      </x:c>
      <x:c r="E113" s="1">
        <x:f>E109+1</x:f>
        <x:v>2</x:v>
      </x:c>
      <x:c r="F113" s="1">
        <x:v>1</x:v>
      </x:c>
      <x:c r="G113" s="1" t="b">
        <x:v>0</x:v>
      </x:c>
      <x:c r="H113" s="1">
        <x:v>0</x:v>
      </x:c>
      <x:c r="I113" s="1">
        <x:v>0</x:v>
      </x:c>
      <x:c r="J113" s="1">
        <x:f t="shared" si="33"/>
        <x:v>1</x:v>
      </x:c>
      <x:c r="K113" s="1">
        <x:v>120</x:v>
      </x:c>
      <x:c r="L113" s="1" t="str">
        <x:f t="shared" si="35"/>
        <x:v>Buff</x:v>
      </x:c>
      <x:c r="M113" s="1" t="str">
        <x:f t="shared" si="32"/>
        <x:v>Tower</x:v>
      </x:c>
      <x:c r="N113" s="1" t="str">
        <x:f>N109</x:f>
        <x:v>DotDamage</x:v>
      </x:c>
      <x:c r="O113" s="1" t="str">
        <x:f>O109</x:f>
        <x:v>None</x:v>
      </x:c>
      <x:c r="P113" s="1">
        <x:v>1</x:v>
      </x:c>
      <x:c r="Q113" s="1">
        <x:v>0</x:v>
      </x:c>
      <x:c r="R113" s="1">
        <x:f t="shared" si="1"/>
        <x:v>2406</x:v>
      </x:c>
    </x:row>
    <x:row r="114" spans="1:18">
      <x:c r="A114" s="1">
        <x:f t="shared" si="34"/>
        <x:v>4106</x:v>
      </x:c>
      <x:c r="B114" s="1" t="str">
        <x:f>B102</x:f>
        <x:v>(광역) 불 타워</x:v>
      </x:c>
      <x:c r="C114" s="1">
        <x:v>1</x:v>
      </x:c>
      <x:c r="D114" s="1">
        <x:f>ROUND(D110*3,2)</x:f>
        <x:v>49.829999999999998</x:v>
      </x:c>
      <x:c r="E114" s="1">
        <x:f>ROUND(E110*1.1,2)</x:f>
        <x:v>2.75</x:v>
      </x:c>
      <x:c r="F114" s="1">
        <x:f>ROUND(F110*2.5,2)</x:f>
        <x:v>1.3799999999999999</x:v>
      </x:c>
      <x:c r="G114" s="1" t="b">
        <x:v>0</x:v>
      </x:c>
      <x:c r="H114" s="1">
        <x:f>IF(H110*1.6&lt;=1,H110*1.6,1)</x:f>
        <x:v>0.026880000000000004</x:v>
      </x:c>
      <x:c r="I114" s="1">
        <x:f>ROUND(I110*2,2)</x:f>
        <x:v>0.10000000000000001</x:v>
      </x:c>
      <x:c r="J114" s="1">
        <x:f>ROUND(J102*3,2)</x:f>
        <x:v>1.5</x:v>
      </x:c>
      <x:c r="K114" s="1">
        <x:v>500</x:v>
      </x:c>
      <x:c r="L114" s="1" t="str">
        <x:f t="shared" si="35"/>
        <x:v>Splash</x:v>
      </x:c>
      <x:c r="M114" s="1" t="str">
        <x:f t="shared" si="32"/>
        <x:v>Enemy</x:v>
      </x:c>
      <x:c r="N114" s="1" t="s">
        <x:v>35</x:v>
      </x:c>
      <x:c r="O114" s="1" t="str">
        <x:f>O102</x:f>
        <x:v>DotDamage</x:v>
      </x:c>
      <x:c r="P114" s="1">
        <x:v>10</x:v>
      </x:c>
      <x:c r="Q114" s="1">
        <x:f>Q102*2</x:f>
        <x:v>6</x:v>
      </x:c>
      <x:c r="R114" s="1">
        <x:f t="shared" si="1"/>
        <x:v>3106</x:v>
      </x:c>
    </x:row>
    <x:row r="115" spans="1:18">
      <x:c r="A115" s="1">
        <x:f t="shared" si="34"/>
        <x:v>4206</x:v>
      </x:c>
      <x:c r="B115" s="1" t="str">
        <x:f>B103</x:f>
        <x:v>(단일) 불 타워</x:v>
      </x:c>
      <x:c r="C115" s="1">
        <x:v>1</x:v>
      </x:c>
      <x:c r="D115" s="1">
        <x:f>ROUND(D111*3,2)</x:f>
        <x:v>34.68</x:v>
      </x:c>
      <x:c r="E115" s="1">
        <x:f>ROUND(E111*1.1,2)</x:f>
        <x:v>2.75</x:v>
      </x:c>
      <x:c r="F115" s="1">
        <x:f>ROUND(F111*2.75,2)</x:f>
        <x:v>2.6400000000000001</x:v>
      </x:c>
      <x:c r="G115" s="1" t="b">
        <x:v>0</x:v>
      </x:c>
      <x:c r="H115" s="1">
        <x:f>IF(H111*1.6&lt;=1,H111*1.6,1)</x:f>
        <x:v>0.053760000000000008</x:v>
      </x:c>
      <x:c r="I115" s="1">
        <x:f>ROUND(I111*2,2)</x:f>
        <x:v>0.059999999999999998</x:v>
      </x:c>
      <x:c r="J115" s="1">
        <x:f t="shared" si="33"/>
        <x:v>0</x:v>
      </x:c>
      <x:c r="K115" s="1">
        <x:v>0</x:v>
      </x:c>
      <x:c r="L115" s="1" t="str">
        <x:f t="shared" si="35"/>
        <x:v>Target</x:v>
      </x:c>
      <x:c r="M115" s="1" t="str">
        <x:f t="shared" si="32"/>
        <x:v>Enemy</x:v>
      </x:c>
      <x:c r="N115" s="1" t="s">
        <x:v>35</x:v>
      </x:c>
      <x:c r="O115" s="1" t="s">
        <x:v>35</x:v>
      </x:c>
      <x:c r="P115" s="1">
        <x:v>15</x:v>
      </x:c>
      <x:c r="Q115" s="1">
        <x:v>0</x:v>
      </x:c>
      <x:c r="R115" s="1">
        <x:f t="shared" si="1"/>
        <x:v>3206</x:v>
      </x:c>
    </x:row>
    <x:row r="116" spans="1:18">
      <x:c r="A116" s="1">
        <x:f t="shared" si="34"/>
        <x:v>4306</x:v>
      </x:c>
      <x:c r="B116" s="1" t="str">
        <x:f>B104</x:f>
        <x:v>(함정) 불 타워</x:v>
      </x:c>
      <x:c r="C116" s="1">
        <x:v>1</x:v>
      </x:c>
      <x:c r="D116" s="1">
        <x:f>ROUND(D112*3,2)</x:f>
        <x:v>48</x:v>
      </x:c>
      <x:c r="E116" s="1">
        <x:f>ROUND(E112*1.1,2)</x:f>
        <x:v>2.75</x:v>
      </x:c>
      <x:c r="F116" s="1">
        <x:f>ROUND(F112*2.5,2)</x:f>
        <x:v>0.59999999999999998</x:v>
      </x:c>
      <x:c r="G116" s="1" t="b">
        <x:v>0</x:v>
      </x:c>
      <x:c r="H116" s="1">
        <x:v>0</x:v>
      </x:c>
      <x:c r="I116" s="1">
        <x:v>0</x:v>
      </x:c>
      <x:c r="J116" s="1">
        <x:f t="shared" si="33"/>
        <x:v>30</x:v>
      </x:c>
      <x:c r="K116" s="1">
        <x:v>0</x:v>
      </x:c>
      <x:c r="L116" s="1" t="str">
        <x:f t="shared" si="35"/>
        <x:v>Trap</x:v>
      </x:c>
      <x:c r="M116" s="1" t="str">
        <x:f t="shared" si="32"/>
        <x:v>Enemy</x:v>
      </x:c>
      <x:c r="N116" s="1" t="s">
        <x:v>35</x:v>
      </x:c>
      <x:c r="O116" s="1" t="s">
        <x:v>35</x:v>
      </x:c>
      <x:c r="P116" s="1">
        <x:v>1</x:v>
      </x:c>
      <x:c r="Q116" s="1">
        <x:f>Q104*2</x:f>
        <x:v>4</x:v>
      </x:c>
      <x:c r="R116" s="1">
        <x:f t="shared" si="1"/>
        <x:v>3306</x:v>
      </x:c>
    </x:row>
    <x:row r="117" spans="1:18">
      <x:c r="A117" s="1">
        <x:f t="shared" si="34"/>
        <x:v>4406</x:v>
      </x:c>
      <x:c r="B117" s="1" t="str">
        <x:f>B105</x:f>
        <x:v>(버프) 불 타워</x:v>
      </x:c>
      <x:c r="C117" s="1">
        <x:v>1</x:v>
      </x:c>
      <x:c r="D117" s="1">
        <x:v>0</x:v>
      </x:c>
      <x:c r="E117" s="1">
        <x:f>E113+2</x:f>
        <x:v>4</x:v>
      </x:c>
      <x:c r="F117" s="1">
        <x:v>1</x:v>
      </x:c>
      <x:c r="G117" s="1" t="b">
        <x:v>0</x:v>
      </x:c>
      <x:c r="H117" s="1">
        <x:v>0</x:v>
      </x:c>
      <x:c r="I117" s="1">
        <x:v>0</x:v>
      </x:c>
      <x:c r="J117" s="1">
        <x:f t="shared" si="33"/>
        <x:v>1</x:v>
      </x:c>
      <x:c r="K117" s="1">
        <x:v>500</x:v>
      </x:c>
      <x:c r="L117" s="1" t="str">
        <x:f t="shared" si="35"/>
        <x:v>Buff</x:v>
      </x:c>
      <x:c r="M117" s="1" t="str">
        <x:f t="shared" si="32"/>
        <x:v>Tower</x:v>
      </x:c>
      <x:c r="N117" s="1" t="str">
        <x:f>N113</x:f>
        <x:v>DotDamage</x:v>
      </x:c>
      <x:c r="O117" s="1" t="str">
        <x:f>O113</x:f>
        <x:v>None</x:v>
      </x:c>
      <x:c r="P117" s="1">
        <x:v>1</x:v>
      </x:c>
      <x:c r="Q117" s="1">
        <x:v>0</x:v>
      </x:c>
      <x:c r="R117" s="1">
        <x:f t="shared" si="1"/>
        <x:v>3406</x:v>
      </x:c>
    </x:row>
    <x:row r="118" spans="1:18">
      <x:c r="A118" s="1">
        <x:f t="shared" si="34"/>
        <x:v>5106</x:v>
      </x:c>
      <x:c r="B118" s="1" t="str">
        <x:f>B102</x:f>
        <x:v>(광역) 불 타워</x:v>
      </x:c>
      <x:c r="C118" s="1">
        <x:v>1</x:v>
      </x:c>
      <x:c r="D118" s="1">
        <x:f>ROUND(D114*4.2,2)</x:f>
        <x:v>209.28999999999999</x:v>
      </x:c>
      <x:c r="E118" s="1">
        <x:f>ROUND(E114*1.25,2)</x:f>
        <x:v>3.4399999999999999</x:v>
      </x:c>
      <x:c r="F118" s="1">
        <x:f>ROUND(F114*3,2)</x:f>
        <x:v>4.1399999999999997</x:v>
      </x:c>
      <x:c r="G118" s="1" t="b">
        <x:v>0</x:v>
      </x:c>
      <x:c r="H118" s="1">
        <x:f>IF(H114*1.8&lt;=1,H114*1.8,1)</x:f>
        <x:v>0.048384000000000005</x:v>
      </x:c>
      <x:c r="I118" s="1">
        <x:f>ROUND(I114*2.8,2)</x:f>
        <x:v>0.28000000000000003</x:v>
      </x:c>
      <x:c r="J118" s="1">
        <x:f>ROUND(J102*5,2)</x:f>
        <x:v>2.5</x:v>
      </x:c>
      <x:c r="K118" s="1">
        <x:v>1500</x:v>
      </x:c>
      <x:c r="L118" s="1" t="str">
        <x:f t="shared" si="35"/>
        <x:v>Splash</x:v>
      </x:c>
      <x:c r="M118" s="1" t="str">
        <x:f t="shared" si="32"/>
        <x:v>Enemy</x:v>
      </x:c>
      <x:c r="N118" s="1" t="s">
        <x:v>35</x:v>
      </x:c>
      <x:c r="O118" s="1" t="str">
        <x:f>O102</x:f>
        <x:v>DotDamage</x:v>
      </x:c>
      <x:c r="P118" s="1">
        <x:v>10</x:v>
      </x:c>
      <x:c r="Q118" s="1">
        <x:f>Q102*3</x:f>
        <x:v>9</x:v>
      </x:c>
      <x:c r="R118" s="1">
        <x:f t="shared" si="1"/>
        <x:v>4106</x:v>
      </x:c>
    </x:row>
    <x:row r="119" spans="1:18">
      <x:c r="A119" s="1">
        <x:f t="shared" si="34"/>
        <x:v>5206</x:v>
      </x:c>
      <x:c r="B119" s="1" t="str">
        <x:f>B103</x:f>
        <x:v>(단일) 불 타워</x:v>
      </x:c>
      <x:c r="C119" s="1">
        <x:v>1</x:v>
      </x:c>
      <x:c r="D119" s="1">
        <x:f>ROUND(D115*5,2)</x:f>
        <x:v>173.40000000000001</x:v>
      </x:c>
      <x:c r="E119" s="1">
        <x:f t="shared" ref="E119:E120" si="36">ROUND(E115*1.25,2)</x:f>
        <x:v>3.4399999999999999</x:v>
      </x:c>
      <x:c r="F119" s="1">
        <x:f>ROUND(F115*4,2)</x:f>
        <x:v>10.56</x:v>
      </x:c>
      <x:c r="G119" s="1" t="b">
        <x:v>0</x:v>
      </x:c>
      <x:c r="H119" s="1">
        <x:f>IF(H115*1.8&lt;=1,H115*1.8,1)</x:f>
        <x:v>0.09676800000000001</x:v>
      </x:c>
      <x:c r="I119" s="1">
        <x:f>ROUND(I115*2.8,2)</x:f>
        <x:v>0.17000000000000001</x:v>
      </x:c>
      <x:c r="J119" s="1">
        <x:f t="shared" si="33"/>
        <x:v>0</x:v>
      </x:c>
      <x:c r="K119" s="1">
        <x:v>0</x:v>
      </x:c>
      <x:c r="L119" s="1" t="str">
        <x:f t="shared" si="35"/>
        <x:v>Target</x:v>
      </x:c>
      <x:c r="M119" s="1" t="str">
        <x:f t="shared" si="32"/>
        <x:v>Enemy</x:v>
      </x:c>
      <x:c r="N119" s="1" t="s">
        <x:v>35</x:v>
      </x:c>
      <x:c r="O119" s="1" t="s">
        <x:v>35</x:v>
      </x:c>
      <x:c r="P119" s="1">
        <x:v>15</x:v>
      </x:c>
      <x:c r="Q119" s="1">
        <x:v>0</x:v>
      </x:c>
      <x:c r="R119" s="1">
        <x:f t="shared" si="1"/>
        <x:v>4206</x:v>
      </x:c>
    </x:row>
    <x:row r="120" spans="1:18">
      <x:c r="A120" s="1">
        <x:f t="shared" si="34"/>
        <x:v>5306</x:v>
      </x:c>
      <x:c r="B120" s="1" t="str">
        <x:f>B104</x:f>
        <x:v>(함정) 불 타워</x:v>
      </x:c>
      <x:c r="C120" s="1">
        <x:v>1</x:v>
      </x:c>
      <x:c r="D120" s="1">
        <x:f>ROUND(D116*5,2)</x:f>
        <x:v>240</x:v>
      </x:c>
      <x:c r="E120" s="1">
        <x:f t="shared" si="36"/>
        <x:v>3.4399999999999999</x:v>
      </x:c>
      <x:c r="F120" s="1">
        <x:f>ROUND(F116*3,2)</x:f>
        <x:v>1.8</x:v>
      </x:c>
      <x:c r="G120" s="1" t="b">
        <x:v>0</x:v>
      </x:c>
      <x:c r="H120" s="1">
        <x:v>0</x:v>
      </x:c>
      <x:c r="I120" s="1">
        <x:v>0</x:v>
      </x:c>
      <x:c r="J120" s="1">
        <x:f t="shared" si="33"/>
        <x:v>30</x:v>
      </x:c>
      <x:c r="K120" s="1">
        <x:v>0</x:v>
      </x:c>
      <x:c r="L120" s="1" t="str">
        <x:f t="shared" si="35"/>
        <x:v>Trap</x:v>
      </x:c>
      <x:c r="M120" s="1" t="str">
        <x:f t="shared" si="32"/>
        <x:v>Enemy</x:v>
      </x:c>
      <x:c r="N120" s="1" t="s">
        <x:v>35</x:v>
      </x:c>
      <x:c r="O120" s="1" t="s">
        <x:v>35</x:v>
      </x:c>
      <x:c r="P120" s="1">
        <x:v>1</x:v>
      </x:c>
      <x:c r="Q120" s="1">
        <x:f>Q104*3</x:f>
        <x:v>6</x:v>
      </x:c>
      <x:c r="R120" s="1">
        <x:f t="shared" si="1"/>
        <x:v>4306</x:v>
      </x:c>
    </x:row>
    <x:row r="121" spans="1:18">
      <x:c r="A121" s="1">
        <x:f t="shared" si="34"/>
        <x:v>5406</x:v>
      </x:c>
      <x:c r="B121" s="1" t="str">
        <x:f>B105</x:f>
        <x:v>(버프) 불 타워</x:v>
      </x:c>
      <x:c r="C121" s="1">
        <x:v>1</x:v>
      </x:c>
      <x:c r="D121" s="1">
        <x:v>0</x:v>
      </x:c>
      <x:c r="E121" s="1">
        <x:f>E117+3</x:f>
        <x:v>7</x:v>
      </x:c>
      <x:c r="F121" s="1">
        <x:v>1</x:v>
      </x:c>
      <x:c r="G121" s="1" t="b">
        <x:v>0</x:v>
      </x:c>
      <x:c r="H121" s="1">
        <x:v>0</x:v>
      </x:c>
      <x:c r="I121" s="1">
        <x:v>0</x:v>
      </x:c>
      <x:c r="J121" s="1">
        <x:f t="shared" si="33"/>
        <x:v>1</x:v>
      </x:c>
      <x:c r="K121" s="1">
        <x:v>1500</x:v>
      </x:c>
      <x:c r="L121" s="1" t="str">
        <x:f t="shared" si="35"/>
        <x:v>Buff</x:v>
      </x:c>
      <x:c r="M121" s="1" t="str">
        <x:f t="shared" si="32"/>
        <x:v>Tower</x:v>
      </x:c>
      <x:c r="N121" s="1" t="str">
        <x:f>N117</x:f>
        <x:v>DotDamage</x:v>
      </x:c>
      <x:c r="O121" s="1" t="str">
        <x:f>O117</x:f>
        <x:v>None</x:v>
      </x:c>
      <x:c r="P121" s="1">
        <x:v>1</x:v>
      </x:c>
      <x:c r="Q121" s="1">
        <x:v>0</x:v>
      </x:c>
      <x:c r="R121" s="1">
        <x:f t="shared" si="1"/>
        <x:v>4406</x:v>
      </x:c>
    </x:row>
    <x:row r="122" spans="1:18">
      <x:c r="A122" s="1">
        <x:v>1107</x:v>
      </x:c>
      <x:c r="B122" s="1" t="s">
        <x:v>10</x:v>
      </x:c>
      <x:c r="C122" s="1">
        <x:v>1</x:v>
      </x:c>
      <x:c r="D122" s="1">
        <x:v>4.7000000000000002</x:v>
      </x:c>
      <x:c r="E122" s="1">
        <x:v>2.5</x:v>
      </x:c>
      <x:c r="F122" s="1">
        <x:v>0.05</x:v>
      </x:c>
      <x:c r="G122" s="1" t="b">
        <x:v>0</x:v>
      </x:c>
      <x:c r="H122" s="1">
        <x:v>0.22</x:v>
      </x:c>
      <x:c r="I122" s="1">
        <x:v>0.046999999999999997</x:v>
      </x:c>
      <x:c r="J122" s="1">
        <x:v>0.5</x:v>
      </x:c>
      <x:c r="K122" s="1">
        <x:v>8.6957000000000004</x:v>
      </x:c>
      <x:c r="L122" s="1" t="s">
        <x:v>29</x:v>
      </x:c>
      <x:c r="M122" s="1" t="str">
        <x:f t="shared" ref="M122:M124" si="37">IF(L122="Buff","Tower","Enemy")</x:f>
        <x:v>Enemy</x:v>
      </x:c>
      <x:c r="N122" s="1" t="s">
        <x:v>35</x:v>
      </x:c>
      <x:c r="O122" s="1" t="s">
        <x:v>39</x:v>
      </x:c>
      <x:c r="P122" s="1">
        <x:v>10</x:v>
      </x:c>
      <x:c r="Q122" s="1">
        <x:v>3</x:v>
      </x:c>
      <x:c r="R122" s="1">
        <x:f t="shared" si="1"/>
        <x:v>107</x:v>
      </x:c>
    </x:row>
    <x:row r="123" spans="1:18">
      <x:c r="A123" s="1">
        <x:f>A122+100</x:f>
        <x:v>1207</x:v>
      </x:c>
      <x:c r="B123" s="1" t="s">
        <x:v>59</x:v>
      </x:c>
      <x:c r="C123" s="1">
        <x:v>1</x:v>
      </x:c>
      <x:c r="D123" s="1">
        <x:v>8</x:v>
      </x:c>
      <x:c r="E123" s="1">
        <x:v>2.5</x:v>
      </x:c>
      <x:c r="F123" s="1">
        <x:v>0.070000000000000007</x:v>
      </x:c>
      <x:c r="G123" s="1" t="b">
        <x:v>0</x:v>
      </x:c>
      <x:c r="H123" s="1">
        <x:v>0.17000000000000001</x:v>
      </x:c>
      <x:c r="I123" s="1">
        <x:v>0.028000000000000003</x:v>
      </x:c>
      <x:c r="J123" s="1">
        <x:v>0</x:v>
      </x:c>
      <x:c r="K123" s="1">
        <x:v>0</x:v>
      </x:c>
      <x:c r="L123" s="1" t="s">
        <x:v>26</x:v>
      </x:c>
      <x:c r="M123" s="1" t="str">
        <x:f t="shared" si="37"/>
        <x:v>Enemy</x:v>
      </x:c>
      <x:c r="N123" s="1" t="s">
        <x:v>35</x:v>
      </x:c>
      <x:c r="O123" s="1" t="s">
        <x:v>35</x:v>
      </x:c>
      <x:c r="P123" s="1">
        <x:v>15</x:v>
      </x:c>
      <x:c r="Q123" s="1">
        <x:v>0</x:v>
      </x:c>
      <x:c r="R123" s="1">
        <x:f t="shared" si="1"/>
        <x:v>207</x:v>
      </x:c>
    </x:row>
    <x:row r="124" spans="1:18">
      <x:c r="A124" s="1">
        <x:f>A122+200</x:f>
        <x:v>1307</x:v>
      </x:c>
      <x:c r="B124" s="1" t="s">
        <x:v>14</x:v>
      </x:c>
      <x:c r="C124" s="1">
        <x:v>1</x:v>
      </x:c>
      <x:c r="D124" s="1">
        <x:v>50</x:v>
      </x:c>
      <x:c r="E124" s="1">
        <x:v>2.5</x:v>
      </x:c>
      <x:c r="F124" s="1">
        <x:v>0.005</x:v>
      </x:c>
      <x:c r="G124" s="1" t="b">
        <x:v>0</x:v>
      </x:c>
      <x:c r="H124" s="1">
        <x:v>0</x:v>
      </x:c>
      <x:c r="I124" s="1">
        <x:v>0</x:v>
      </x:c>
      <x:c r="J124" s="1">
        <x:v>30</x:v>
      </x:c>
      <x:c r="K124" s="1">
        <x:v>525</x:v>
      </x:c>
      <x:c r="L124" s="1" t="s">
        <x:v>42</x:v>
      </x:c>
      <x:c r="M124" s="1" t="str">
        <x:f t="shared" si="37"/>
        <x:v>Enemy</x:v>
      </x:c>
      <x:c r="N124" s="1" t="s">
        <x:v>35</x:v>
      </x:c>
      <x:c r="O124" s="1" t="s">
        <x:v>35</x:v>
      </x:c>
      <x:c r="P124" s="1">
        <x:v>1</x:v>
      </x:c>
      <x:c r="Q124" s="1">
        <x:v>2</x:v>
      </x:c>
      <x:c r="R124" s="1">
        <x:f t="shared" si="1"/>
        <x:v>307</x:v>
      </x:c>
    </x:row>
    <x:row r="125" spans="1:18">
      <x:c r="A125" s="1">
        <x:f>A122+300</x:f>
        <x:v>1407</x:v>
      </x:c>
      <x:c r="B125" s="1" t="s">
        <x:v>21</x:v>
      </x:c>
      <x:c r="C125" s="1">
        <x:v>1</x:v>
      </x:c>
      <x:c r="D125" s="1">
        <x:v>0</x:v>
      </x:c>
      <x:c r="E125" s="1">
        <x:v>3</x:v>
      </x:c>
      <x:c r="F125" s="1">
        <x:v>1</x:v>
      </x:c>
      <x:c r="G125" s="1" t="b">
        <x:v>0</x:v>
      </x:c>
      <x:c r="H125" s="1">
        <x:v>0</x:v>
      </x:c>
      <x:c r="I125" s="1">
        <x:v>0</x:v>
      </x:c>
      <x:c r="J125" s="1">
        <x:v>1</x:v>
      </x:c>
      <x:c r="K125" s="1">
        <x:f>IF(L125="Buff",1.2,8.6957)</x:f>
        <x:v>8.6957000000000004</x:v>
      </x:c>
      <x:c r="L125" s="1" t="s">
        <x:v>40</x:v>
      </x:c>
      <x:c r="M125" s="1" t="str">
        <x:f>IF(L125="Buff","Tower","Enemy")</x:f>
        <x:v>Enemy</x:v>
      </x:c>
      <x:c r="N125" s="1" t="s">
        <x:v>35</x:v>
      </x:c>
      <x:c r="O125" s="1" t="s">
        <x:v>39</x:v>
      </x:c>
      <x:c r="P125" s="1">
        <x:v>1</x:v>
      </x:c>
      <x:c r="Q125" s="1">
        <x:v>0</x:v>
      </x:c>
      <x:c r="R125" s="1">
        <x:f t="shared" si="1"/>
        <x:v>407</x:v>
      </x:c>
    </x:row>
    <x:row r="126" spans="1:18">
      <x:c r="A126" s="1">
        <x:f>A122+1000</x:f>
        <x:v>2107</x:v>
      </x:c>
      <x:c r="B126" s="1" t="str">
        <x:f>B122</x:f>
        <x:v>(광역) 얼음 타워</x:v>
      </x:c>
      <x:c r="C126" s="1">
        <x:v>1</x:v>
      </x:c>
      <x:c r="D126" s="1">
        <x:f>ROUND(D122*1.8,2)</x:f>
        <x:v>8.4600000000000009</x:v>
      </x:c>
      <x:c r="E126" s="1">
        <x:f>ROUND(E122,2)</x:f>
        <x:v>2.5</x:v>
      </x:c>
      <x:c r="F126" s="1">
        <x:f>ROUND(F122*2.1,2)</x:f>
        <x:v>0.11</x:v>
      </x:c>
      <x:c r="G126" s="1" t="b">
        <x:v>0</x:v>
      </x:c>
      <x:c r="H126" s="1">
        <x:f>IF(H122*1.2&lt;=1,H122*1.2,1)</x:f>
        <x:v>0.26400000000000001</x:v>
      </x:c>
      <x:c r="I126" s="1">
        <x:f>ROUND(I122*1.2,2)</x:f>
        <x:v>0.059999999999999998</x:v>
      </x:c>
      <x:c r="J126" s="1">
        <x:f>ROUND(J122*1.5,2)</x:f>
        <x:v>0.75</x:v>
      </x:c>
      <x:c r="K126" s="1">
        <x:v>25</x:v>
      </x:c>
      <x:c r="L126" s="1" t="str">
        <x:f>L122</x:f>
        <x:v>Splash</x:v>
      </x:c>
      <x:c r="M126" s="1" t="str">
        <x:f t="shared" ref="M126:M141" si="38">IF(L126="Buff","Tower","Enemy")</x:f>
        <x:v>Enemy</x:v>
      </x:c>
      <x:c r="N126" s="1" t="s">
        <x:v>35</x:v>
      </x:c>
      <x:c r="O126" s="1" t="str">
        <x:f>O122</x:f>
        <x:v>Slow</x:v>
      </x:c>
      <x:c r="P126" s="1">
        <x:v>10</x:v>
      </x:c>
      <x:c r="Q126" s="1">
        <x:f>Q122</x:f>
        <x:v>3</x:v>
      </x:c>
      <x:c r="R126" s="1">
        <x:f t="shared" si="1"/>
        <x:v>1107</x:v>
      </x:c>
    </x:row>
    <x:row r="127" spans="1:18">
      <x:c r="A127" s="1">
        <x:f>A123+1000</x:f>
        <x:v>2207</x:v>
      </x:c>
      <x:c r="B127" s="1" t="str">
        <x:f>B123</x:f>
        <x:v>(단일) 얼음 타워</x:v>
      </x:c>
      <x:c r="C127" s="1">
        <x:v>1</x:v>
      </x:c>
      <x:c r="D127" s="1">
        <x:f>ROUND(D123*1.7,2)</x:f>
        <x:v>13.6</x:v>
      </x:c>
      <x:c r="E127" s="1">
        <x:f>ROUND(E123,2)</x:f>
        <x:v>2.5</x:v>
      </x:c>
      <x:c r="F127" s="1">
        <x:f>ROUND(F123*2.2,2)</x:f>
        <x:v>0.14999999999999999</x:v>
      </x:c>
      <x:c r="G127" s="1" t="b">
        <x:v>0</x:v>
      </x:c>
      <x:c r="H127" s="1">
        <x:f>IF(H123*1.2&lt;=1,H123*1.2,1)</x:f>
        <x:v>0.20400000000000001</x:v>
      </x:c>
      <x:c r="I127" s="1">
        <x:f>ROUND(I123*1.2,2)</x:f>
        <x:v>0.029999999999999999</x:v>
      </x:c>
      <x:c r="J127" s="1">
        <x:f t="shared" ref="J127:J141" si="39">J123</x:f>
        <x:v>0</x:v>
      </x:c>
      <x:c r="K127" s="1">
        <x:v>0</x:v>
      </x:c>
      <x:c r="L127" s="1" t="str">
        <x:f>L123</x:f>
        <x:v>Target</x:v>
      </x:c>
      <x:c r="M127" s="1" t="str">
        <x:f t="shared" si="38"/>
        <x:v>Enemy</x:v>
      </x:c>
      <x:c r="N127" s="1" t="s">
        <x:v>35</x:v>
      </x:c>
      <x:c r="O127" s="1" t="s">
        <x:v>35</x:v>
      </x:c>
      <x:c r="P127" s="1">
        <x:v>15</x:v>
      </x:c>
      <x:c r="Q127" s="1">
        <x:v>0</x:v>
      </x:c>
      <x:c r="R127" s="1">
        <x:f t="shared" si="1"/>
        <x:v>1207</x:v>
      </x:c>
    </x:row>
    <x:row r="128" spans="1:18">
      <x:c r="A128" s="1">
        <x:f t="shared" ref="A128:A141" si="40">A124+1000</x:f>
        <x:v>2307</x:v>
      </x:c>
      <x:c r="B128" s="1" t="str">
        <x:f>B124</x:f>
        <x:v>(함정) 얼음 타워</x:v>
      </x:c>
      <x:c r="C128" s="1">
        <x:v>1</x:v>
      </x:c>
      <x:c r="D128" s="1">
        <x:f>ROUND(D124*2,2)</x:f>
        <x:v>100</x:v>
      </x:c>
      <x:c r="E128" s="1">
        <x:f>ROUND(E124,2)</x:f>
        <x:v>2.5</x:v>
      </x:c>
      <x:c r="F128" s="1">
        <x:f>ROUND(F124*2.1,2)</x:f>
        <x:v>0.010000000000000001</x:v>
      </x:c>
      <x:c r="G128" s="1" t="b">
        <x:v>0</x:v>
      </x:c>
      <x:c r="H128" s="1">
        <x:v>0</x:v>
      </x:c>
      <x:c r="I128" s="1">
        <x:v>0</x:v>
      </x:c>
      <x:c r="J128" s="1">
        <x:f t="shared" si="39"/>
        <x:v>30</x:v>
      </x:c>
      <x:c r="K128" s="1">
        <x:v>1500</x:v>
      </x:c>
      <x:c r="L128" s="1" t="str">
        <x:f>L124</x:f>
        <x:v>Trap</x:v>
      </x:c>
      <x:c r="M128" s="1" t="str">
        <x:f t="shared" si="38"/>
        <x:v>Enemy</x:v>
      </x:c>
      <x:c r="N128" s="1" t="s">
        <x:v>35</x:v>
      </x:c>
      <x:c r="O128" s="1" t="s">
        <x:v>35</x:v>
      </x:c>
      <x:c r="P128" s="1">
        <x:v>1</x:v>
      </x:c>
      <x:c r="Q128" s="1">
        <x:f>Q124</x:f>
        <x:v>2</x:v>
      </x:c>
      <x:c r="R128" s="1">
        <x:f t="shared" si="1"/>
        <x:v>1307</x:v>
      </x:c>
    </x:row>
    <x:row r="129" spans="1:18">
      <x:c r="A129" s="1">
        <x:f t="shared" si="40"/>
        <x:v>2407</x:v>
      </x:c>
      <x:c r="B129" s="1" t="str">
        <x:f>B125</x:f>
        <x:v>(버프) 얼음 타워</x:v>
      </x:c>
      <x:c r="C129" s="1">
        <x:v>1</x:v>
      </x:c>
      <x:c r="D129" s="1">
        <x:v>0</x:v>
      </x:c>
      <x:c r="E129" s="1">
        <x:f>E125+0</x:f>
        <x:v>3</x:v>
      </x:c>
      <x:c r="F129" s="1">
        <x:v>1</x:v>
      </x:c>
      <x:c r="G129" s="1" t="b">
        <x:v>0</x:v>
      </x:c>
      <x:c r="H129" s="1">
        <x:v>0</x:v>
      </x:c>
      <x:c r="I129" s="1">
        <x:v>0</x:v>
      </x:c>
      <x:c r="J129" s="1">
        <x:f t="shared" si="39"/>
        <x:v>1</x:v>
      </x:c>
      <x:c r="K129" s="1">
        <x:f>IF(L129="Buff",1.4,25)</x:f>
        <x:v>25</x:v>
      </x:c>
      <x:c r="L129" s="1" t="str">
        <x:f>L125</x:f>
        <x:v>Debuff</x:v>
      </x:c>
      <x:c r="M129" s="1" t="str">
        <x:f t="shared" si="38"/>
        <x:v>Enemy</x:v>
      </x:c>
      <x:c r="N129" s="1" t="str">
        <x:f>N125</x:f>
        <x:v>None</x:v>
      </x:c>
      <x:c r="O129" s="1" t="str">
        <x:f>O125</x:f>
        <x:v>Slow</x:v>
      </x:c>
      <x:c r="P129" s="1">
        <x:v>1</x:v>
      </x:c>
      <x:c r="Q129" s="1">
        <x:v>0</x:v>
      </x:c>
      <x:c r="R129" s="1">
        <x:f t="shared" si="1"/>
        <x:v>1407</x:v>
      </x:c>
    </x:row>
    <x:row r="130" spans="1:18">
      <x:c r="A130" s="1">
        <x:f t="shared" si="40"/>
        <x:v>3107</x:v>
      </x:c>
      <x:c r="B130" s="1" t="str">
        <x:f>B122</x:f>
        <x:v>(광역) 얼음 타워</x:v>
      </x:c>
      <x:c r="C130" s="1">
        <x:v>1</x:v>
      </x:c>
      <x:c r="D130" s="1">
        <x:f>ROUND(D126*2.25,2)</x:f>
        <x:v>19.039999999999999</x:v>
      </x:c>
      <x:c r="E130" s="1">
        <x:f>ROUND(E126,2)</x:f>
        <x:v>2.5</x:v>
      </x:c>
      <x:c r="F130" s="1">
        <x:f>ROUND(F126*2.2,2)</x:f>
        <x:v>0.23999999999999999</x:v>
      </x:c>
      <x:c r="G130" s="1" t="b">
        <x:v>0</x:v>
      </x:c>
      <x:c r="H130" s="1">
        <x:f>IF(H126*1.4&lt;=1,H126*1.4,1)</x:f>
        <x:v>0.36959999999999998</x:v>
      </x:c>
      <x:c r="I130" s="1">
        <x:f>ROUND(I126*1.5,2)</x:f>
        <x:v>0.089999999999999991</x:v>
      </x:c>
      <x:c r="J130" s="1">
        <x:f>ROUND(J122*2,2)</x:f>
        <x:v>1</x:v>
      </x:c>
      <x:c r="K130" s="1">
        <x:v>60</x:v>
      </x:c>
      <x:c r="L130" s="1" t="str">
        <x:f t="shared" ref="L130:L141" si="41">L126</x:f>
        <x:v>Splash</x:v>
      </x:c>
      <x:c r="M130" s="1" t="str">
        <x:f t="shared" si="38"/>
        <x:v>Enemy</x:v>
      </x:c>
      <x:c r="N130" s="1" t="s">
        <x:v>35</x:v>
      </x:c>
      <x:c r="O130" s="1" t="str">
        <x:f>O122</x:f>
        <x:v>Slow</x:v>
      </x:c>
      <x:c r="P130" s="1">
        <x:v>10</x:v>
      </x:c>
      <x:c r="Q130" s="1">
        <x:f>Q122*1.5</x:f>
        <x:v>4.5</x:v>
      </x:c>
      <x:c r="R130" s="1">
        <x:f t="shared" si="1"/>
        <x:v>2107</x:v>
      </x:c>
    </x:row>
    <x:row r="131" spans="1:18">
      <x:c r="A131" s="1">
        <x:f t="shared" si="40"/>
        <x:v>3207</x:v>
      </x:c>
      <x:c r="B131" s="1" t="str">
        <x:f>B123</x:f>
        <x:v>(단일) 얼음 타워</x:v>
      </x:c>
      <x:c r="C131" s="1">
        <x:v>1</x:v>
      </x:c>
      <x:c r="D131" s="1">
        <x:f>ROUND(D127*2,2)</x:f>
        <x:v>27.199999999999999</x:v>
      </x:c>
      <x:c r="E131" s="1">
        <x:f>ROUND(E127,2)</x:f>
        <x:v>2.5</x:v>
      </x:c>
      <x:c r="F131" s="1">
        <x:f>ROUND(F127*2.4,2)</x:f>
        <x:v>0.35999999999999999</x:v>
      </x:c>
      <x:c r="G131" s="1" t="b">
        <x:v>0</x:v>
      </x:c>
      <x:c r="H131" s="1">
        <x:f>IF(H127*1.4&lt;=1,H127*1.4,1)</x:f>
        <x:v>0.28560000000000002</x:v>
      </x:c>
      <x:c r="I131" s="1">
        <x:f>ROUND(I127*1.5,2)</x:f>
        <x:v>0.05</x:v>
      </x:c>
      <x:c r="J131" s="1">
        <x:f t="shared" si="39"/>
        <x:v>0</x:v>
      </x:c>
      <x:c r="K131" s="1">
        <x:v>0</x:v>
      </x:c>
      <x:c r="L131" s="1" t="str">
        <x:f t="shared" si="41"/>
        <x:v>Target</x:v>
      </x:c>
      <x:c r="M131" s="1" t="str">
        <x:f t="shared" si="38"/>
        <x:v>Enemy</x:v>
      </x:c>
      <x:c r="N131" s="1" t="s">
        <x:v>35</x:v>
      </x:c>
      <x:c r="O131" s="1" t="s">
        <x:v>35</x:v>
      </x:c>
      <x:c r="P131" s="1">
        <x:v>15</x:v>
      </x:c>
      <x:c r="Q131" s="1">
        <x:v>0</x:v>
      </x:c>
      <x:c r="R131" s="1">
        <x:f t="shared" si="1"/>
        <x:v>2207</x:v>
      </x:c>
    </x:row>
    <x:row r="132" spans="1:18">
      <x:c r="A132" s="1">
        <x:f t="shared" si="40"/>
        <x:v>3307</x:v>
      </x:c>
      <x:c r="B132" s="1" t="str">
        <x:f>B124</x:f>
        <x:v>(함정) 얼음 타워</x:v>
      </x:c>
      <x:c r="C132" s="1">
        <x:v>1</x:v>
      </x:c>
      <x:c r="D132" s="1">
        <x:f>ROUND(D128*2.5,2)</x:f>
        <x:v>250</x:v>
      </x:c>
      <x:c r="E132" s="1">
        <x:f>ROUND(E128,2)</x:f>
        <x:v>2.5</x:v>
      </x:c>
      <x:c r="F132" s="1">
        <x:f>ROUND(F128*2.2,2)</x:f>
        <x:v>0.020000000000000001</x:v>
      </x:c>
      <x:c r="G132" s="1" t="b">
        <x:v>0</x:v>
      </x:c>
      <x:c r="H132" s="1">
        <x:v>0</x:v>
      </x:c>
      <x:c r="I132" s="1">
        <x:v>0</x:v>
      </x:c>
      <x:c r="J132" s="1">
        <x:f t="shared" si="39"/>
        <x:v>30</x:v>
      </x:c>
      <x:c r="K132" s="1">
        <x:v>3750</x:v>
      </x:c>
      <x:c r="L132" s="1" t="str">
        <x:f t="shared" si="41"/>
        <x:v>Trap</x:v>
      </x:c>
      <x:c r="M132" s="1" t="str">
        <x:f t="shared" si="38"/>
        <x:v>Enemy</x:v>
      </x:c>
      <x:c r="N132" s="1" t="s">
        <x:v>35</x:v>
      </x:c>
      <x:c r="O132" s="1" t="s">
        <x:v>35</x:v>
      </x:c>
      <x:c r="P132" s="1">
        <x:v>1</x:v>
      </x:c>
      <x:c r="Q132" s="1">
        <x:f>Q124*1.5</x:f>
        <x:v>3</x:v>
      </x:c>
      <x:c r="R132" s="1">
        <x:f t="shared" si="1"/>
        <x:v>2307</x:v>
      </x:c>
    </x:row>
    <x:row r="133" spans="1:18">
      <x:c r="A133" s="1">
        <x:f t="shared" si="40"/>
        <x:v>3407</x:v>
      </x:c>
      <x:c r="B133" s="1" t="str">
        <x:f>B125</x:f>
        <x:v>(버프) 얼음 타워</x:v>
      </x:c>
      <x:c r="C133" s="1">
        <x:v>1</x:v>
      </x:c>
      <x:c r="D133" s="1">
        <x:v>0</x:v>
      </x:c>
      <x:c r="E133" s="1">
        <x:f>E129+1</x:f>
        <x:v>4</x:v>
      </x:c>
      <x:c r="F133" s="1">
        <x:v>1</x:v>
      </x:c>
      <x:c r="G133" s="1" t="b">
        <x:v>0</x:v>
      </x:c>
      <x:c r="H133" s="1">
        <x:v>0</x:v>
      </x:c>
      <x:c r="I133" s="1">
        <x:v>0</x:v>
      </x:c>
      <x:c r="J133" s="1">
        <x:f t="shared" si="39"/>
        <x:v>1</x:v>
      </x:c>
      <x:c r="K133" s="1">
        <x:f>IF(L133="Buff",2,60)</x:f>
        <x:v>60</x:v>
      </x:c>
      <x:c r="L133" s="1" t="str">
        <x:f t="shared" si="41"/>
        <x:v>Debuff</x:v>
      </x:c>
      <x:c r="M133" s="1" t="str">
        <x:f t="shared" si="38"/>
        <x:v>Enemy</x:v>
      </x:c>
      <x:c r="N133" s="1" t="str">
        <x:f>N129</x:f>
        <x:v>None</x:v>
      </x:c>
      <x:c r="O133" s="1" t="str">
        <x:f>O129</x:f>
        <x:v>Slow</x:v>
      </x:c>
      <x:c r="P133" s="1">
        <x:v>1</x:v>
      </x:c>
      <x:c r="Q133" s="1">
        <x:v>0</x:v>
      </x:c>
      <x:c r="R133" s="1">
        <x:f t="shared" si="1"/>
        <x:v>2407</x:v>
      </x:c>
    </x:row>
    <x:row r="134" spans="1:18">
      <x:c r="A134" s="1">
        <x:f t="shared" si="40"/>
        <x:v>4107</x:v>
      </x:c>
      <x:c r="B134" s="1" t="str">
        <x:f>B122</x:f>
        <x:v>(광역) 얼음 타워</x:v>
      </x:c>
      <x:c r="C134" s="1">
        <x:v>1</x:v>
      </x:c>
      <x:c r="D134" s="1">
        <x:f>ROUND(D130*3,2)</x:f>
        <x:v>57.119999999999997</x:v>
      </x:c>
      <x:c r="E134" s="1">
        <x:f>ROUND(E130*1.1,2)</x:f>
        <x:v>2.75</x:v>
      </x:c>
      <x:c r="F134" s="1">
        <x:f>ROUND(F130*2.5,2)</x:f>
        <x:v>0.59999999999999998</x:v>
      </x:c>
      <x:c r="G134" s="1" t="b">
        <x:v>0</x:v>
      </x:c>
      <x:c r="H134" s="1">
        <x:f>IF(H130*1.6&lt;=1,H130*1.6,1)</x:f>
        <x:v>0.59136</x:v>
      </x:c>
      <x:c r="I134" s="1">
        <x:f>ROUND(I130*2,2)</x:f>
        <x:v>0.17999999999999999</x:v>
      </x:c>
      <x:c r="J134" s="1">
        <x:f>ROUND(J122*3,2)</x:f>
        <x:v>1.5</x:v>
      </x:c>
      <x:c r="K134" s="1">
        <x:v>150</x:v>
      </x:c>
      <x:c r="L134" s="1" t="str">
        <x:f t="shared" si="41"/>
        <x:v>Splash</x:v>
      </x:c>
      <x:c r="M134" s="1" t="str">
        <x:f t="shared" si="38"/>
        <x:v>Enemy</x:v>
      </x:c>
      <x:c r="N134" s="1" t="s">
        <x:v>35</x:v>
      </x:c>
      <x:c r="O134" s="1" t="str">
        <x:f>O122</x:f>
        <x:v>Slow</x:v>
      </x:c>
      <x:c r="P134" s="1">
        <x:v>10</x:v>
      </x:c>
      <x:c r="Q134" s="1">
        <x:f>Q122*2</x:f>
        <x:v>6</x:v>
      </x:c>
      <x:c r="R134" s="1">
        <x:f t="shared" si="1"/>
        <x:v>3107</x:v>
      </x:c>
    </x:row>
    <x:row r="135" spans="1:18">
      <x:c r="A135" s="1">
        <x:f t="shared" si="40"/>
        <x:v>4207</x:v>
      </x:c>
      <x:c r="B135" s="1" t="str">
        <x:f>B123</x:f>
        <x:v>(단일) 얼음 타워</x:v>
      </x:c>
      <x:c r="C135" s="1">
        <x:v>1</x:v>
      </x:c>
      <x:c r="D135" s="1">
        <x:f>ROUND(D131*3,2)</x:f>
        <x:v>81.599999999999994</x:v>
      </x:c>
      <x:c r="E135" s="1">
        <x:f>ROUND(E131*1.1,2)</x:f>
        <x:v>2.75</x:v>
      </x:c>
      <x:c r="F135" s="1">
        <x:f>ROUND(F131*2.75,2)</x:f>
        <x:v>0.98999999999999999</x:v>
      </x:c>
      <x:c r="G135" s="1" t="b">
        <x:v>0</x:v>
      </x:c>
      <x:c r="H135" s="1">
        <x:f>IF(H131*1.6&lt;=1,H131*1.6,1)</x:f>
        <x:v>0.45696000000000003</x:v>
      </x:c>
      <x:c r="I135" s="1">
        <x:f>ROUND(I131*2,2)</x:f>
        <x:v>0.10000000000000001</x:v>
      </x:c>
      <x:c r="J135" s="1">
        <x:f t="shared" si="39"/>
        <x:v>0</x:v>
      </x:c>
      <x:c r="K135" s="1">
        <x:v>0</x:v>
      </x:c>
      <x:c r="L135" s="1" t="str">
        <x:f t="shared" si="41"/>
        <x:v>Target</x:v>
      </x:c>
      <x:c r="M135" s="1" t="str">
        <x:f t="shared" si="38"/>
        <x:v>Enemy</x:v>
      </x:c>
      <x:c r="N135" s="1" t="s">
        <x:v>35</x:v>
      </x:c>
      <x:c r="O135" s="1" t="s">
        <x:v>35</x:v>
      </x:c>
      <x:c r="P135" s="1">
        <x:v>15</x:v>
      </x:c>
      <x:c r="Q135" s="1">
        <x:v>0</x:v>
      </x:c>
      <x:c r="R135" s="1">
        <x:f t="shared" si="1"/>
        <x:v>3207</x:v>
      </x:c>
    </x:row>
    <x:row r="136" spans="1:18">
      <x:c r="A136" s="1">
        <x:f t="shared" si="40"/>
        <x:v>4307</x:v>
      </x:c>
      <x:c r="B136" s="1" t="str">
        <x:f>B124</x:f>
        <x:v>(함정) 얼음 타워</x:v>
      </x:c>
      <x:c r="C136" s="1">
        <x:v>1</x:v>
      </x:c>
      <x:c r="D136" s="1">
        <x:f>ROUND(D132*3,2)</x:f>
        <x:v>750</x:v>
      </x:c>
      <x:c r="E136" s="1">
        <x:f>ROUND(E132*1.1,2)</x:f>
        <x:v>2.75</x:v>
      </x:c>
      <x:c r="F136" s="1">
        <x:f>ROUND(F132*2.5,2)</x:f>
        <x:v>0.05</x:v>
      </x:c>
      <x:c r="G136" s="1" t="b">
        <x:v>0</x:v>
      </x:c>
      <x:c r="H136" s="1">
        <x:v>0</x:v>
      </x:c>
      <x:c r="I136" s="1">
        <x:v>0</x:v>
      </x:c>
      <x:c r="J136" s="1">
        <x:f t="shared" si="39"/>
        <x:v>30</x:v>
      </x:c>
      <x:c r="K136" s="1">
        <x:v>7500</x:v>
      </x:c>
      <x:c r="L136" s="1" t="str">
        <x:f t="shared" si="41"/>
        <x:v>Trap</x:v>
      </x:c>
      <x:c r="M136" s="1" t="str">
        <x:f t="shared" si="38"/>
        <x:v>Enemy</x:v>
      </x:c>
      <x:c r="N136" s="1" t="s">
        <x:v>35</x:v>
      </x:c>
      <x:c r="O136" s="1" t="s">
        <x:v>35</x:v>
      </x:c>
      <x:c r="P136" s="1">
        <x:v>1</x:v>
      </x:c>
      <x:c r="Q136" s="1">
        <x:f>Q124*2</x:f>
        <x:v>4</x:v>
      </x:c>
      <x:c r="R136" s="1">
        <x:f t="shared" si="1"/>
        <x:v>3307</x:v>
      </x:c>
    </x:row>
    <x:row r="137" spans="1:18">
      <x:c r="A137" s="1">
        <x:f t="shared" si="40"/>
        <x:v>4407</x:v>
      </x:c>
      <x:c r="B137" s="1" t="str">
        <x:f>B125</x:f>
        <x:v>(버프) 얼음 타워</x:v>
      </x:c>
      <x:c r="C137" s="1">
        <x:v>1</x:v>
      </x:c>
      <x:c r="D137" s="1">
        <x:v>0</x:v>
      </x:c>
      <x:c r="E137" s="1">
        <x:f>E133+2</x:f>
        <x:v>6</x:v>
      </x:c>
      <x:c r="F137" s="1">
        <x:v>1</x:v>
      </x:c>
      <x:c r="G137" s="1" t="b">
        <x:v>0</x:v>
      </x:c>
      <x:c r="H137" s="1">
        <x:v>0</x:v>
      </x:c>
      <x:c r="I137" s="1">
        <x:v>0</x:v>
      </x:c>
      <x:c r="J137" s="1">
        <x:f t="shared" si="39"/>
        <x:v>1</x:v>
      </x:c>
      <x:c r="K137" s="1">
        <x:f>IF(L137="Buff",3,150)</x:f>
        <x:v>150</x:v>
      </x:c>
      <x:c r="L137" s="1" t="str">
        <x:f t="shared" si="41"/>
        <x:v>Debuff</x:v>
      </x:c>
      <x:c r="M137" s="1" t="str">
        <x:f t="shared" si="38"/>
        <x:v>Enemy</x:v>
      </x:c>
      <x:c r="N137" s="1" t="str">
        <x:f>N133</x:f>
        <x:v>None</x:v>
      </x:c>
      <x:c r="O137" s="1" t="str">
        <x:f>O133</x:f>
        <x:v>Slow</x:v>
      </x:c>
      <x:c r="P137" s="1">
        <x:v>1</x:v>
      </x:c>
      <x:c r="Q137" s="1">
        <x:v>0</x:v>
      </x:c>
      <x:c r="R137" s="1">
        <x:f t="shared" si="1"/>
        <x:v>3407</x:v>
      </x:c>
    </x:row>
    <x:row r="138" spans="1:18">
      <x:c r="A138" s="1">
        <x:f t="shared" si="40"/>
        <x:v>5107</x:v>
      </x:c>
      <x:c r="B138" s="1" t="str">
        <x:f>B122</x:f>
        <x:v>(광역) 얼음 타워</x:v>
      </x:c>
      <x:c r="C138" s="1">
        <x:v>1</x:v>
      </x:c>
      <x:c r="D138" s="1">
        <x:f>ROUND(D134*4.2,2)</x:f>
        <x:v>239.90000000000001</x:v>
      </x:c>
      <x:c r="E138" s="1">
        <x:f>ROUND(E134*1.25,2)</x:f>
        <x:v>3.4399999999999999</x:v>
      </x:c>
      <x:c r="F138" s="1">
        <x:f>ROUND(F134*3,2)</x:f>
        <x:v>1.8</x:v>
      </x:c>
      <x:c r="G138" s="1" t="b">
        <x:v>0</x:v>
      </x:c>
      <x:c r="H138" s="1">
        <x:f>IF(H134*1.8&lt;=1,H134*1.8,1)</x:f>
        <x:v>1</x:v>
      </x:c>
      <x:c r="I138" s="1">
        <x:f>ROUND(I134*2.8,2)</x:f>
        <x:v>0.5</x:v>
      </x:c>
      <x:c r="J138" s="1">
        <x:f>ROUND(J122*5,2)</x:f>
        <x:v>2.5</x:v>
      </x:c>
      <x:c r="K138" s="1">
        <x:v>525</x:v>
      </x:c>
      <x:c r="L138" s="1" t="str">
        <x:f t="shared" si="41"/>
        <x:v>Splash</x:v>
      </x:c>
      <x:c r="M138" s="1" t="str">
        <x:f t="shared" si="38"/>
        <x:v>Enemy</x:v>
      </x:c>
      <x:c r="N138" s="1" t="s">
        <x:v>35</x:v>
      </x:c>
      <x:c r="O138" s="1" t="str">
        <x:f>O122</x:f>
        <x:v>Slow</x:v>
      </x:c>
      <x:c r="P138" s="1">
        <x:v>10</x:v>
      </x:c>
      <x:c r="Q138" s="1">
        <x:f>Q122*3</x:f>
        <x:v>9</x:v>
      </x:c>
      <x:c r="R138" s="1">
        <x:f t="shared" si="1"/>
        <x:v>4107</x:v>
      </x:c>
    </x:row>
    <x:row r="139" spans="1:18">
      <x:c r="A139" s="1">
        <x:f t="shared" si="40"/>
        <x:v>5207</x:v>
      </x:c>
      <x:c r="B139" s="1" t="str">
        <x:f>B123</x:f>
        <x:v>(단일) 얼음 타워</x:v>
      </x:c>
      <x:c r="C139" s="1">
        <x:v>1</x:v>
      </x:c>
      <x:c r="D139" s="1">
        <x:f>ROUND(D135*5,2)</x:f>
        <x:v>408</x:v>
      </x:c>
      <x:c r="E139" s="1">
        <x:f t="shared" ref="E139:E140" si="42">ROUND(E135*1.25,2)</x:f>
        <x:v>3.4399999999999999</x:v>
      </x:c>
      <x:c r="F139" s="1">
        <x:f>ROUND(F135*4,2)</x:f>
        <x:v>3.96</x:v>
      </x:c>
      <x:c r="G139" s="1" t="b">
        <x:v>0</x:v>
      </x:c>
      <x:c r="H139" s="1">
        <x:f>IF(H135*1.8&lt;=1,H135*1.8,1)</x:f>
        <x:v>0.82252800000000004</x:v>
      </x:c>
      <x:c r="I139" s="1">
        <x:f>ROUND(I135*2.8,2)</x:f>
        <x:v>0.28000000000000003</x:v>
      </x:c>
      <x:c r="J139" s="1">
        <x:f t="shared" si="39"/>
        <x:v>0</x:v>
      </x:c>
      <x:c r="K139" s="1">
        <x:v>0</x:v>
      </x:c>
      <x:c r="L139" s="1" t="str">
        <x:f t="shared" si="41"/>
        <x:v>Target</x:v>
      </x:c>
      <x:c r="M139" s="1" t="str">
        <x:f t="shared" si="38"/>
        <x:v>Enemy</x:v>
      </x:c>
      <x:c r="N139" s="1" t="s">
        <x:v>35</x:v>
      </x:c>
      <x:c r="O139" s="1" t="s">
        <x:v>35</x:v>
      </x:c>
      <x:c r="P139" s="1">
        <x:v>15</x:v>
      </x:c>
      <x:c r="Q139" s="1">
        <x:v>0</x:v>
      </x:c>
      <x:c r="R139" s="1">
        <x:f t="shared" si="1"/>
        <x:v>4207</x:v>
      </x:c>
    </x:row>
    <x:row r="140" spans="1:18">
      <x:c r="A140" s="1">
        <x:f t="shared" si="40"/>
        <x:v>5307</x:v>
      </x:c>
      <x:c r="B140" s="1" t="str">
        <x:f>B124</x:f>
        <x:v>(함정) 얼음 타워</x:v>
      </x:c>
      <x:c r="C140" s="1">
        <x:v>1</x:v>
      </x:c>
      <x:c r="D140" s="1">
        <x:f>ROUND(D136*5,2)</x:f>
        <x:v>3750</x:v>
      </x:c>
      <x:c r="E140" s="1">
        <x:f t="shared" si="42"/>
        <x:v>3.4399999999999999</x:v>
      </x:c>
      <x:c r="F140" s="1">
        <x:f>ROUND(F136*3,2)</x:f>
        <x:v>0.14999999999999999</x:v>
      </x:c>
      <x:c r="G140" s="1" t="b">
        <x:v>0</x:v>
      </x:c>
      <x:c r="H140" s="1">
        <x:v>0</x:v>
      </x:c>
      <x:c r="I140" s="1">
        <x:v>0</x:v>
      </x:c>
      <x:c r="J140" s="1">
        <x:f t="shared" si="39"/>
        <x:v>30</x:v>
      </x:c>
      <x:c r="K140" s="1">
        <x:v>20000</x:v>
      </x:c>
      <x:c r="L140" s="1" t="str">
        <x:f t="shared" si="41"/>
        <x:v>Trap</x:v>
      </x:c>
      <x:c r="M140" s="1" t="str">
        <x:f t="shared" si="38"/>
        <x:v>Enemy</x:v>
      </x:c>
      <x:c r="N140" s="1" t="s">
        <x:v>35</x:v>
      </x:c>
      <x:c r="O140" s="1" t="s">
        <x:v>35</x:v>
      </x:c>
      <x:c r="P140" s="1">
        <x:v>1</x:v>
      </x:c>
      <x:c r="Q140" s="1">
        <x:f>Q124*3</x:f>
        <x:v>6</x:v>
      </x:c>
      <x:c r="R140" s="1">
        <x:f t="shared" si="1"/>
        <x:v>4307</x:v>
      </x:c>
    </x:row>
    <x:row r="141" spans="1:18">
      <x:c r="A141" s="1">
        <x:f t="shared" si="40"/>
        <x:v>5407</x:v>
      </x:c>
      <x:c r="B141" s="1" t="str">
        <x:f>B125</x:f>
        <x:v>(버프) 얼음 타워</x:v>
      </x:c>
      <x:c r="C141" s="1">
        <x:v>1</x:v>
      </x:c>
      <x:c r="D141" s="1">
        <x:v>0</x:v>
      </x:c>
      <x:c r="E141" s="1">
        <x:f>E137+3</x:f>
        <x:v>9</x:v>
      </x:c>
      <x:c r="F141" s="1">
        <x:v>1</x:v>
      </x:c>
      <x:c r="G141" s="1" t="b">
        <x:v>0</x:v>
      </x:c>
      <x:c r="H141" s="1">
        <x:v>0</x:v>
      </x:c>
      <x:c r="I141" s="1">
        <x:v>0</x:v>
      </x:c>
      <x:c r="J141" s="1">
        <x:f t="shared" si="39"/>
        <x:v>1</x:v>
      </x:c>
      <x:c r="K141" s="1">
        <x:f>IF(L141="Buff",5,525)</x:f>
        <x:v>525</x:v>
      </x:c>
      <x:c r="L141" s="1" t="str">
        <x:f t="shared" si="41"/>
        <x:v>Debuff</x:v>
      </x:c>
      <x:c r="M141" s="1" t="str">
        <x:f t="shared" si="38"/>
        <x:v>Enemy</x:v>
      </x:c>
      <x:c r="N141" s="1" t="str">
        <x:f>N137</x:f>
        <x:v>None</x:v>
      </x:c>
      <x:c r="O141" s="1" t="str">
        <x:f>O137</x:f>
        <x:v>Slow</x:v>
      </x:c>
      <x:c r="P141" s="1">
        <x:v>1</x:v>
      </x:c>
      <x:c r="Q141" s="1">
        <x:v>0</x:v>
      </x:c>
      <x:c r="R141" s="1">
        <x:f t="shared" si="1"/>
        <x:v>4407</x:v>
      </x:c>
    </x:row>
    <x:row r="142" spans="1:18">
      <x:c r="A142" s="1">
        <x:v>1108</x:v>
      </x:c>
      <x:c r="B142" s="1" t="s">
        <x:v>12</x:v>
      </x:c>
      <x:c r="C142" s="1">
        <x:v>1</x:v>
      </x:c>
      <x:c r="D142" s="1">
        <x:v>0.70999999999999996</x:v>
      </x:c>
      <x:c r="E142" s="1">
        <x:v>2.5</x:v>
      </x:c>
      <x:c r="F142" s="1">
        <x:v>0.45000000000000001</x:v>
      </x:c>
      <x:c r="G142" s="1" t="b">
        <x:v>0</x:v>
      </x:c>
      <x:c r="H142" s="1">
        <x:v>0.005</x:v>
      </x:c>
      <x:c r="I142" s="1">
        <x:v>4</x:v>
      </x:c>
      <x:c r="J142" s="1">
        <x:v>0.5</x:v>
      </x:c>
      <x:c r="K142" s="1">
        <x:v>8.6957000000000004</x:v>
      </x:c>
      <x:c r="L142" s="1" t="s">
        <x:v>29</x:v>
      </x:c>
      <x:c r="M142" s="1" t="str">
        <x:f t="shared" ref="M142:M144" si="43">IF(L142="Buff","Tower","Enemy")</x:f>
        <x:v>Enemy</x:v>
      </x:c>
      <x:c r="N142" s="1" t="s">
        <x:v>35</x:v>
      </x:c>
      <x:c r="O142" s="1" t="s">
        <x:v>31</x:v>
      </x:c>
      <x:c r="P142" s="1">
        <x:v>10</x:v>
      </x:c>
      <x:c r="Q142" s="1">
        <x:v>3</x:v>
      </x:c>
      <x:c r="R142" s="1">
        <x:f t="shared" si="1"/>
        <x:v>108</x:v>
      </x:c>
    </x:row>
    <x:row r="143" spans="1:18">
      <x:c r="A143" s="1">
        <x:f>A142+100</x:f>
        <x:v>1208</x:v>
      </x:c>
      <x:c r="B143" s="1" t="s">
        <x:v>11</x:v>
      </x:c>
      <x:c r="C143" s="1">
        <x:v>1</x:v>
      </x:c>
      <x:c r="D143" s="1">
        <x:v>0.55000000000000004</x:v>
      </x:c>
      <x:c r="E143" s="1">
        <x:v>2.5</x:v>
      </x:c>
      <x:c r="F143" s="1">
        <x:v>0.62</x:v>
      </x:c>
      <x:c r="G143" s="1" t="b">
        <x:v>0</x:v>
      </x:c>
      <x:c r="H143" s="1">
        <x:v>0.0080000000000000004</x:v>
      </x:c>
      <x:c r="I143" s="1">
        <x:v>3.2999999999999998</x:v>
      </x:c>
      <x:c r="J143" s="1">
        <x:v>0</x:v>
      </x:c>
      <x:c r="K143" s="1">
        <x:v>0</x:v>
      </x:c>
      <x:c r="L143" s="1" t="s">
        <x:v>26</x:v>
      </x:c>
      <x:c r="M143" s="1" t="str">
        <x:f t="shared" si="43"/>
        <x:v>Enemy</x:v>
      </x:c>
      <x:c r="N143" s="1" t="s">
        <x:v>35</x:v>
      </x:c>
      <x:c r="O143" s="1" t="s">
        <x:v>35</x:v>
      </x:c>
      <x:c r="P143" s="1">
        <x:v>15</x:v>
      </x:c>
      <x:c r="Q143" s="1">
        <x:v>0</x:v>
      </x:c>
      <x:c r="R143" s="1">
        <x:f t="shared" si="1"/>
        <x:v>208</x:v>
      </x:c>
    </x:row>
    <x:row r="144" spans="1:18">
      <x:c r="A144" s="1">
        <x:f>A142+200</x:f>
        <x:v>1308</x:v>
      </x:c>
      <x:c r="B144" s="1" t="s">
        <x:v>53</x:v>
      </x:c>
      <x:c r="C144" s="1">
        <x:v>1</x:v>
      </x:c>
      <x:c r="D144" s="1">
        <x:v>5</x:v>
      </x:c>
      <x:c r="E144" s="1">
        <x:v>2.5</x:v>
      </x:c>
      <x:c r="F144" s="1">
        <x:v>0.05</x:v>
      </x:c>
      <x:c r="G144" s="1" t="b">
        <x:v>0</x:v>
      </x:c>
      <x:c r="H144" s="1">
        <x:v>0</x:v>
      </x:c>
      <x:c r="I144" s="1">
        <x:v>0</x:v>
      </x:c>
      <x:c r="J144" s="1">
        <x:v>30</x:v>
      </x:c>
      <x:c r="K144" s="1">
        <x:v>0</x:v>
      </x:c>
      <x:c r="L144" s="1" t="s">
        <x:v>42</x:v>
      </x:c>
      <x:c r="M144" s="1" t="str">
        <x:f t="shared" si="43"/>
        <x:v>Enemy</x:v>
      </x:c>
      <x:c r="N144" s="1" t="s">
        <x:v>35</x:v>
      </x:c>
      <x:c r="O144" s="1" t="s">
        <x:v>35</x:v>
      </x:c>
      <x:c r="P144" s="1">
        <x:v>1</x:v>
      </x:c>
      <x:c r="Q144" s="1">
        <x:v>2</x:v>
      </x:c>
      <x:c r="R144" s="1">
        <x:f t="shared" si="1"/>
        <x:v>308</x:v>
      </x:c>
    </x:row>
    <x:row r="145" spans="1:18">
      <x:c r="A145" s="1">
        <x:f>A142+300</x:f>
        <x:v>1408</x:v>
      </x:c>
      <x:c r="B145" s="1" t="s">
        <x:v>9</x:v>
      </x:c>
      <x:c r="C145" s="1">
        <x:v>1</x:v>
      </x:c>
      <x:c r="D145" s="1">
        <x:v>1</x:v>
      </x:c>
      <x:c r="E145" s="1">
        <x:v>1</x:v>
      </x:c>
      <x:c r="F145" s="1">
        <x:v>1</x:v>
      </x:c>
      <x:c r="G145" s="1" t="b">
        <x:v>0</x:v>
      </x:c>
      <x:c r="H145" s="1">
        <x:v>0</x:v>
      </x:c>
      <x:c r="I145" s="1">
        <x:v>0</x:v>
      </x:c>
      <x:c r="J145" s="1">
        <x:v>1</x:v>
      </x:c>
      <x:c r="K145" s="1">
        <x:v>10</x:v>
      </x:c>
      <x:c r="L145" s="1" t="s">
        <x:v>32</x:v>
      </x:c>
      <x:c r="M145" s="1" t="str">
        <x:f>IF(L145="Buff","Tower","Enemy")</x:f>
        <x:v>Tower</x:v>
      </x:c>
      <x:c r="N145" s="1" t="s">
        <x:v>37</x:v>
      </x:c>
      <x:c r="O145" s="1" t="s">
        <x:v>35</x:v>
      </x:c>
      <x:c r="P145" s="1">
        <x:v>1</x:v>
      </x:c>
      <x:c r="Q145" s="1">
        <x:v>0</x:v>
      </x:c>
      <x:c r="R145" s="1">
        <x:f t="shared" si="1"/>
        <x:v>408</x:v>
      </x:c>
    </x:row>
    <x:row r="146" spans="1:18">
      <x:c r="A146" s="1">
        <x:f>A142+1000</x:f>
        <x:v>2108</x:v>
      </x:c>
      <x:c r="B146" s="1" t="str">
        <x:f>B142</x:f>
        <x:v>(광역) 전기 타워</x:v>
      </x:c>
      <x:c r="C146" s="1">
        <x:v>1</x:v>
      </x:c>
      <x:c r="D146" s="1">
        <x:f>ROUND(D142*1.8,2)</x:f>
        <x:v>1.28</x:v>
      </x:c>
      <x:c r="E146" s="1">
        <x:f>ROUND(E142,2)</x:f>
        <x:v>2.5</x:v>
      </x:c>
      <x:c r="F146" s="1">
        <x:f>ROUND(F142*2.1,2)</x:f>
        <x:v>0.94999999999999996</x:v>
      </x:c>
      <x:c r="G146" s="1" t="b">
        <x:v>0</x:v>
      </x:c>
      <x:c r="H146" s="1">
        <x:f>IF(H142*1.2&lt;=1,H142*1.2,1)</x:f>
        <x:v>0.0059999999999999998</x:v>
      </x:c>
      <x:c r="I146" s="1">
        <x:f>ROUND(I142*1.2,2)</x:f>
        <x:v>4.7999999999999998</x:v>
      </x:c>
      <x:c r="J146" s="1">
        <x:f>ROUND(J142*1.5,2)</x:f>
        <x:v>0.75</x:v>
      </x:c>
      <x:c r="K146" s="1">
        <x:v>25</x:v>
      </x:c>
      <x:c r="L146" s="1" t="str">
        <x:f>L142</x:f>
        <x:v>Splash</x:v>
      </x:c>
      <x:c r="M146" s="1" t="str">
        <x:f t="shared" ref="M146:M161" si="44">IF(L146="Buff","Tower","Enemy")</x:f>
        <x:v>Enemy</x:v>
      </x:c>
      <x:c r="N146" s="1" t="s">
        <x:v>35</x:v>
      </x:c>
      <x:c r="O146" s="1" t="str">
        <x:f>O142</x:f>
        <x:v>Weak</x:v>
      </x:c>
      <x:c r="P146" s="1">
        <x:v>10</x:v>
      </x:c>
      <x:c r="Q146" s="1">
        <x:f>Q142</x:f>
        <x:v>3</x:v>
      </x:c>
      <x:c r="R146" s="1">
        <x:f t="shared" si="1"/>
        <x:v>1108</x:v>
      </x:c>
    </x:row>
    <x:row r="147" spans="1:18">
      <x:c r="A147" s="1">
        <x:f>A143+1000</x:f>
        <x:v>2208</x:v>
      </x:c>
      <x:c r="B147" s="1" t="str">
        <x:f>B143</x:f>
        <x:v>(단일) 전기 타워</x:v>
      </x:c>
      <x:c r="C147" s="1">
        <x:v>1</x:v>
      </x:c>
      <x:c r="D147" s="1">
        <x:f>ROUND(D143*1.7,2)</x:f>
        <x:v>0.93999999999999995</x:v>
      </x:c>
      <x:c r="E147" s="1">
        <x:f>ROUND(E143,2)</x:f>
        <x:v>2.5</x:v>
      </x:c>
      <x:c r="F147" s="1">
        <x:f>ROUND(F143*2.2,2)</x:f>
        <x:v>1.3600000000000001</x:v>
      </x:c>
      <x:c r="G147" s="1" t="b">
        <x:v>0</x:v>
      </x:c>
      <x:c r="H147" s="1">
        <x:f>IF(H143*1.2&lt;=1,H143*1.2,1)</x:f>
        <x:v>0.0095999999999999996</x:v>
      </x:c>
      <x:c r="I147" s="1">
        <x:f>ROUND(I143*1.2,2)</x:f>
        <x:v>3.96</x:v>
      </x:c>
      <x:c r="J147" s="1">
        <x:f t="shared" ref="J147:J161" si="45">J143</x:f>
        <x:v>0</x:v>
      </x:c>
      <x:c r="K147" s="1">
        <x:v>0</x:v>
      </x:c>
      <x:c r="L147" s="1" t="str">
        <x:f>L143</x:f>
        <x:v>Target</x:v>
      </x:c>
      <x:c r="M147" s="1" t="str">
        <x:f t="shared" si="44"/>
        <x:v>Enemy</x:v>
      </x:c>
      <x:c r="N147" s="1" t="s">
        <x:v>35</x:v>
      </x:c>
      <x:c r="O147" s="1" t="s">
        <x:v>35</x:v>
      </x:c>
      <x:c r="P147" s="1">
        <x:v>15</x:v>
      </x:c>
      <x:c r="Q147" s="1">
        <x:v>0</x:v>
      </x:c>
      <x:c r="R147" s="1">
        <x:f t="shared" si="1"/>
        <x:v>1208</x:v>
      </x:c>
    </x:row>
    <x:row r="148" spans="1:18">
      <x:c r="A148" s="1">
        <x:f t="shared" ref="A148:A161" si="46">A144+1000</x:f>
        <x:v>2308</x:v>
      </x:c>
      <x:c r="B148" s="1" t="str">
        <x:f>B144</x:f>
        <x:v>(함정) 전기 타워</x:v>
      </x:c>
      <x:c r="C148" s="1">
        <x:v>1</x:v>
      </x:c>
      <x:c r="D148" s="1">
        <x:f>ROUND(D144*2,2)</x:f>
        <x:v>10</x:v>
      </x:c>
      <x:c r="E148" s="1">
        <x:f>ROUND(E144,2)</x:f>
        <x:v>2.5</x:v>
      </x:c>
      <x:c r="F148" s="1">
        <x:f>ROUND(F144*2.1,2)</x:f>
        <x:v>0.11</x:v>
      </x:c>
      <x:c r="G148" s="1" t="b">
        <x:v>0</x:v>
      </x:c>
      <x:c r="H148" s="1">
        <x:v>0</x:v>
      </x:c>
      <x:c r="I148" s="1">
        <x:v>0</x:v>
      </x:c>
      <x:c r="J148" s="1">
        <x:f t="shared" si="45"/>
        <x:v>30</x:v>
      </x:c>
      <x:c r="K148" s="1">
        <x:v>0</x:v>
      </x:c>
      <x:c r="L148" s="1" t="str">
        <x:f>L144</x:f>
        <x:v>Trap</x:v>
      </x:c>
      <x:c r="M148" s="1" t="str">
        <x:f t="shared" si="44"/>
        <x:v>Enemy</x:v>
      </x:c>
      <x:c r="N148" s="1" t="s">
        <x:v>35</x:v>
      </x:c>
      <x:c r="O148" s="1" t="s">
        <x:v>35</x:v>
      </x:c>
      <x:c r="P148" s="1">
        <x:v>1</x:v>
      </x:c>
      <x:c r="Q148" s="1">
        <x:f>Q144</x:f>
        <x:v>2</x:v>
      </x:c>
      <x:c r="R148" s="1">
        <x:f t="shared" si="1"/>
        <x:v>1308</x:v>
      </x:c>
    </x:row>
    <x:row r="149" spans="1:18">
      <x:c r="A149" s="1">
        <x:f t="shared" si="46"/>
        <x:v>2408</x:v>
      </x:c>
      <x:c r="B149" s="1" t="str">
        <x:f>B145</x:f>
        <x:v>(버프) 전기 타워</x:v>
      </x:c>
      <x:c r="C149" s="1">
        <x:v>1</x:v>
      </x:c>
      <x:c r="D149" s="1">
        <x:v>2</x:v>
      </x:c>
      <x:c r="E149" s="1">
        <x:f>E145+0</x:f>
        <x:v>1</x:v>
      </x:c>
      <x:c r="F149" s="1">
        <x:v>1</x:v>
      </x:c>
      <x:c r="G149" s="1" t="b">
        <x:v>0</x:v>
      </x:c>
      <x:c r="H149" s="1">
        <x:v>0</x:v>
      </x:c>
      <x:c r="I149" s="1">
        <x:v>0</x:v>
      </x:c>
      <x:c r="J149" s="1">
        <x:f t="shared" si="45"/>
        <x:v>1</x:v>
      </x:c>
      <x:c r="K149" s="1">
        <x:v>50</x:v>
      </x:c>
      <x:c r="L149" s="1" t="str">
        <x:f>L145</x:f>
        <x:v>Buff</x:v>
      </x:c>
      <x:c r="M149" s="1" t="str">
        <x:f t="shared" si="44"/>
        <x:v>Tower</x:v>
      </x:c>
      <x:c r="N149" s="1" t="str">
        <x:f>N145</x:f>
        <x:v>Chain</x:v>
      </x:c>
      <x:c r="O149" s="1" t="str">
        <x:f>O145</x:f>
        <x:v>None</x:v>
      </x:c>
      <x:c r="P149" s="1">
        <x:v>1</x:v>
      </x:c>
      <x:c r="Q149" s="1">
        <x:v>0</x:v>
      </x:c>
      <x:c r="R149" s="1">
        <x:f t="shared" si="1"/>
        <x:v>1408</x:v>
      </x:c>
    </x:row>
    <x:row r="150" spans="1:18">
      <x:c r="A150" s="1">
        <x:f t="shared" si="46"/>
        <x:v>3108</x:v>
      </x:c>
      <x:c r="B150" s="1" t="str">
        <x:f>B142</x:f>
        <x:v>(광역) 전기 타워</x:v>
      </x:c>
      <x:c r="C150" s="1">
        <x:v>1</x:v>
      </x:c>
      <x:c r="D150" s="1">
        <x:f>ROUND(D146*2.25,2)</x:f>
        <x:v>2.8799999999999999</x:v>
      </x:c>
      <x:c r="E150" s="1">
        <x:f>ROUND(E146,2)</x:f>
        <x:v>2.5</x:v>
      </x:c>
      <x:c r="F150" s="1">
        <x:f>ROUND(F146*2.2,2)</x:f>
        <x:v>2.0899999999999999</x:v>
      </x:c>
      <x:c r="G150" s="1" t="b">
        <x:v>0</x:v>
      </x:c>
      <x:c r="H150" s="1">
        <x:f>IF(H146*1.4&lt;=1,H146*1.4,1)</x:f>
        <x:v>0.0083999999999999997</x:v>
      </x:c>
      <x:c r="I150" s="1">
        <x:f>ROUND(I146*1.5,2)</x:f>
        <x:v>7.2000000000000002</x:v>
      </x:c>
      <x:c r="J150" s="1">
        <x:f>ROUND(J142*2,2)</x:f>
        <x:v>1</x:v>
      </x:c>
      <x:c r="K150" s="1">
        <x:v>60</x:v>
      </x:c>
      <x:c r="L150" s="1" t="str">
        <x:f t="shared" ref="L150:L161" si="47">L146</x:f>
        <x:v>Splash</x:v>
      </x:c>
      <x:c r="M150" s="1" t="str">
        <x:f t="shared" si="44"/>
        <x:v>Enemy</x:v>
      </x:c>
      <x:c r="N150" s="1" t="s">
        <x:v>35</x:v>
      </x:c>
      <x:c r="O150" s="1" t="str">
        <x:f>O142</x:f>
        <x:v>Weak</x:v>
      </x:c>
      <x:c r="P150" s="1">
        <x:v>10</x:v>
      </x:c>
      <x:c r="Q150" s="1">
        <x:f>Q142*1.5</x:f>
        <x:v>4.5</x:v>
      </x:c>
      <x:c r="R150" s="1">
        <x:f t="shared" si="1"/>
        <x:v>2108</x:v>
      </x:c>
    </x:row>
    <x:row r="151" spans="1:18">
      <x:c r="A151" s="1">
        <x:f t="shared" si="46"/>
        <x:v>3208</x:v>
      </x:c>
      <x:c r="B151" s="1" t="str">
        <x:f>B143</x:f>
        <x:v>(단일) 전기 타워</x:v>
      </x:c>
      <x:c r="C151" s="1">
        <x:v>1</x:v>
      </x:c>
      <x:c r="D151" s="1">
        <x:f>ROUND(D147*2,2)</x:f>
        <x:v>1.8799999999999999</x:v>
      </x:c>
      <x:c r="E151" s="1">
        <x:f>ROUND(E147,2)</x:f>
        <x:v>2.5</x:v>
      </x:c>
      <x:c r="F151" s="1">
        <x:f>ROUND(F147*2.4,2)</x:f>
        <x:v>3.2599999999999998</x:v>
      </x:c>
      <x:c r="G151" s="1" t="b">
        <x:v>0</x:v>
      </x:c>
      <x:c r="H151" s="1">
        <x:f>IF(H147*1.4&lt;=1,H147*1.4,1)</x:f>
        <x:v>0.013439999999999999</x:v>
      </x:c>
      <x:c r="I151" s="1">
        <x:f>ROUND(I147*1.5,2)</x:f>
        <x:v>5.9400000000000004</x:v>
      </x:c>
      <x:c r="J151" s="1">
        <x:f t="shared" si="45"/>
        <x:v>0</x:v>
      </x:c>
      <x:c r="K151" s="1">
        <x:v>0</x:v>
      </x:c>
      <x:c r="L151" s="1" t="str">
        <x:f t="shared" si="47"/>
        <x:v>Target</x:v>
      </x:c>
      <x:c r="M151" s="1" t="str">
        <x:f t="shared" si="44"/>
        <x:v>Enemy</x:v>
      </x:c>
      <x:c r="N151" s="1" t="s">
        <x:v>35</x:v>
      </x:c>
      <x:c r="O151" s="1" t="s">
        <x:v>35</x:v>
      </x:c>
      <x:c r="P151" s="1">
        <x:v>15</x:v>
      </x:c>
      <x:c r="Q151" s="1">
        <x:v>0</x:v>
      </x:c>
      <x:c r="R151" s="1">
        <x:f t="shared" si="1"/>
        <x:v>2208</x:v>
      </x:c>
    </x:row>
    <x:row r="152" spans="1:18">
      <x:c r="A152" s="1">
        <x:f t="shared" si="46"/>
        <x:v>3308</x:v>
      </x:c>
      <x:c r="B152" s="1" t="str">
        <x:f>B144</x:f>
        <x:v>(함정) 전기 타워</x:v>
      </x:c>
      <x:c r="C152" s="1">
        <x:v>1</x:v>
      </x:c>
      <x:c r="D152" s="1">
        <x:f>ROUND(D148*2.5,2)</x:f>
        <x:v>25</x:v>
      </x:c>
      <x:c r="E152" s="1">
        <x:f>ROUND(E148,2)</x:f>
        <x:v>2.5</x:v>
      </x:c>
      <x:c r="F152" s="1">
        <x:f>ROUND(F148*2.2,2)</x:f>
        <x:v>0.23999999999999999</x:v>
      </x:c>
      <x:c r="G152" s="1" t="b">
        <x:v>0</x:v>
      </x:c>
      <x:c r="H152" s="1">
        <x:v>0</x:v>
      </x:c>
      <x:c r="I152" s="1">
        <x:v>0</x:v>
      </x:c>
      <x:c r="J152" s="1">
        <x:f t="shared" si="45"/>
        <x:v>30</x:v>
      </x:c>
      <x:c r="K152" s="1">
        <x:v>0</x:v>
      </x:c>
      <x:c r="L152" s="1" t="str">
        <x:f t="shared" si="47"/>
        <x:v>Trap</x:v>
      </x:c>
      <x:c r="M152" s="1" t="str">
        <x:f t="shared" si="44"/>
        <x:v>Enemy</x:v>
      </x:c>
      <x:c r="N152" s="1" t="s">
        <x:v>35</x:v>
      </x:c>
      <x:c r="O152" s="1" t="s">
        <x:v>35</x:v>
      </x:c>
      <x:c r="P152" s="1">
        <x:v>1</x:v>
      </x:c>
      <x:c r="Q152" s="1">
        <x:f>Q144*1.5</x:f>
        <x:v>3</x:v>
      </x:c>
      <x:c r="R152" s="1">
        <x:f t="shared" si="1"/>
        <x:v>2308</x:v>
      </x:c>
    </x:row>
    <x:row r="153" spans="1:18">
      <x:c r="A153" s="1">
        <x:f t="shared" si="46"/>
        <x:v>3408</x:v>
      </x:c>
      <x:c r="B153" s="1" t="str">
        <x:f>B145</x:f>
        <x:v>(버프) 전기 타워</x:v>
      </x:c>
      <x:c r="C153" s="1">
        <x:v>1</x:v>
      </x:c>
      <x:c r="D153" s="1">
        <x:v>3</x:v>
      </x:c>
      <x:c r="E153" s="1">
        <x:f>E149+1</x:f>
        <x:v>2</x:v>
      </x:c>
      <x:c r="F153" s="1">
        <x:v>1</x:v>
      </x:c>
      <x:c r="G153" s="1" t="b">
        <x:v>0</x:v>
      </x:c>
      <x:c r="H153" s="1">
        <x:v>0</x:v>
      </x:c>
      <x:c r="I153" s="1">
        <x:v>0</x:v>
      </x:c>
      <x:c r="J153" s="1">
        <x:f t="shared" si="45"/>
        <x:v>1</x:v>
      </x:c>
      <x:c r="K153" s="1">
        <x:v>120</x:v>
      </x:c>
      <x:c r="L153" s="1" t="str">
        <x:f t="shared" si="47"/>
        <x:v>Buff</x:v>
      </x:c>
      <x:c r="M153" s="1" t="str">
        <x:f t="shared" si="44"/>
        <x:v>Tower</x:v>
      </x:c>
      <x:c r="N153" s="1" t="str">
        <x:f>N149</x:f>
        <x:v>Chain</x:v>
      </x:c>
      <x:c r="O153" s="1" t="str">
        <x:f>O149</x:f>
        <x:v>None</x:v>
      </x:c>
      <x:c r="P153" s="1">
        <x:v>1</x:v>
      </x:c>
      <x:c r="Q153" s="1">
        <x:v>0</x:v>
      </x:c>
      <x:c r="R153" s="1">
        <x:f t="shared" si="1"/>
        <x:v>2408</x:v>
      </x:c>
    </x:row>
    <x:row r="154" spans="1:18">
      <x:c r="A154" s="1">
        <x:f t="shared" si="46"/>
        <x:v>4108</x:v>
      </x:c>
      <x:c r="B154" s="1" t="str">
        <x:f>B142</x:f>
        <x:v>(광역) 전기 타워</x:v>
      </x:c>
      <x:c r="C154" s="1">
        <x:v>1</x:v>
      </x:c>
      <x:c r="D154" s="1">
        <x:f>ROUND(D150*3,2)</x:f>
        <x:v>8.6400000000000006</x:v>
      </x:c>
      <x:c r="E154" s="1">
        <x:f>ROUND(E150*1.1,2)</x:f>
        <x:v>2.75</x:v>
      </x:c>
      <x:c r="F154" s="1">
        <x:f>ROUND(F150*2.5,2)</x:f>
        <x:v>5.2300000000000004</x:v>
      </x:c>
      <x:c r="G154" s="1" t="b">
        <x:v>0</x:v>
      </x:c>
      <x:c r="H154" s="1">
        <x:f>IF(H150*1.6&lt;=1,H150*1.6,1)</x:f>
        <x:v>0.013440000000000002</x:v>
      </x:c>
      <x:c r="I154" s="1">
        <x:f>ROUND(I150*2,2)</x:f>
        <x:v>14.4</x:v>
      </x:c>
      <x:c r="J154" s="1">
        <x:f>ROUND(J142*3,2)</x:f>
        <x:v>1.5</x:v>
      </x:c>
      <x:c r="K154" s="1">
        <x:v>150</x:v>
      </x:c>
      <x:c r="L154" s="1" t="str">
        <x:f t="shared" si="47"/>
        <x:v>Splash</x:v>
      </x:c>
      <x:c r="M154" s="1" t="str">
        <x:f t="shared" si="44"/>
        <x:v>Enemy</x:v>
      </x:c>
      <x:c r="N154" s="1" t="s">
        <x:v>35</x:v>
      </x:c>
      <x:c r="O154" s="1" t="str">
        <x:f>O142</x:f>
        <x:v>Weak</x:v>
      </x:c>
      <x:c r="P154" s="1">
        <x:v>10</x:v>
      </x:c>
      <x:c r="Q154" s="1">
        <x:f>Q142*2</x:f>
        <x:v>6</x:v>
      </x:c>
      <x:c r="R154" s="1">
        <x:f t="shared" si="1"/>
        <x:v>3108</x:v>
      </x:c>
    </x:row>
    <x:row r="155" spans="1:18">
      <x:c r="A155" s="1">
        <x:f t="shared" si="46"/>
        <x:v>4208</x:v>
      </x:c>
      <x:c r="B155" s="1" t="str">
        <x:f>B143</x:f>
        <x:v>(단일) 전기 타워</x:v>
      </x:c>
      <x:c r="C155" s="1">
        <x:v>1</x:v>
      </x:c>
      <x:c r="D155" s="1">
        <x:f>ROUND(D151*3,2)</x:f>
        <x:v>5.6399999999999997</x:v>
      </x:c>
      <x:c r="E155" s="1">
        <x:f>ROUND(E151*1.1,2)</x:f>
        <x:v>2.75</x:v>
      </x:c>
      <x:c r="F155" s="1">
        <x:f>ROUND(F151*2.75,2)</x:f>
        <x:v>8.9700000000000006</x:v>
      </x:c>
      <x:c r="G155" s="1" t="b">
        <x:v>0</x:v>
      </x:c>
      <x:c r="H155" s="1">
        <x:f>IF(H151*1.6&lt;=1,H151*1.6,1)</x:f>
        <x:v>0.021503999999999998</x:v>
      </x:c>
      <x:c r="I155" s="1">
        <x:f>ROUND(I151*2,2)</x:f>
        <x:v>11.880000000000001</x:v>
      </x:c>
      <x:c r="J155" s="1">
        <x:f t="shared" si="45"/>
        <x:v>0</x:v>
      </x:c>
      <x:c r="K155" s="1">
        <x:v>0</x:v>
      </x:c>
      <x:c r="L155" s="1" t="str">
        <x:f t="shared" si="47"/>
        <x:v>Target</x:v>
      </x:c>
      <x:c r="M155" s="1" t="str">
        <x:f t="shared" si="44"/>
        <x:v>Enemy</x:v>
      </x:c>
      <x:c r="N155" s="1" t="s">
        <x:v>35</x:v>
      </x:c>
      <x:c r="O155" s="1" t="s">
        <x:v>35</x:v>
      </x:c>
      <x:c r="P155" s="1">
        <x:v>15</x:v>
      </x:c>
      <x:c r="Q155" s="1">
        <x:v>0</x:v>
      </x:c>
      <x:c r="R155" s="1">
        <x:f t="shared" si="1"/>
        <x:v>3208</x:v>
      </x:c>
    </x:row>
    <x:row r="156" spans="1:18">
      <x:c r="A156" s="1">
        <x:f t="shared" si="46"/>
        <x:v>4308</x:v>
      </x:c>
      <x:c r="B156" s="1" t="str">
        <x:f>B144</x:f>
        <x:v>(함정) 전기 타워</x:v>
      </x:c>
      <x:c r="C156" s="1">
        <x:v>1</x:v>
      </x:c>
      <x:c r="D156" s="1">
        <x:f>ROUND(D152*3,2)</x:f>
        <x:v>75</x:v>
      </x:c>
      <x:c r="E156" s="1">
        <x:f>ROUND(E152*1.1,2)</x:f>
        <x:v>2.75</x:v>
      </x:c>
      <x:c r="F156" s="1">
        <x:f>ROUND(F152*2.5,2)</x:f>
        <x:v>0.59999999999999998</x:v>
      </x:c>
      <x:c r="G156" s="1" t="b">
        <x:v>0</x:v>
      </x:c>
      <x:c r="H156" s="1">
        <x:v>0</x:v>
      </x:c>
      <x:c r="I156" s="1">
        <x:v>0</x:v>
      </x:c>
      <x:c r="J156" s="1">
        <x:f t="shared" si="45"/>
        <x:v>30</x:v>
      </x:c>
      <x:c r="K156" s="1">
        <x:v>0</x:v>
      </x:c>
      <x:c r="L156" s="1" t="str">
        <x:f t="shared" si="47"/>
        <x:v>Trap</x:v>
      </x:c>
      <x:c r="M156" s="1" t="str">
        <x:f t="shared" si="44"/>
        <x:v>Enemy</x:v>
      </x:c>
      <x:c r="N156" s="1" t="s">
        <x:v>35</x:v>
      </x:c>
      <x:c r="O156" s="1" t="s">
        <x:v>35</x:v>
      </x:c>
      <x:c r="P156" s="1">
        <x:v>1</x:v>
      </x:c>
      <x:c r="Q156" s="1">
        <x:f>Q144*2</x:f>
        <x:v>4</x:v>
      </x:c>
      <x:c r="R156" s="1">
        <x:f t="shared" si="1"/>
        <x:v>3308</x:v>
      </x:c>
    </x:row>
    <x:row r="157" spans="1:18">
      <x:c r="A157" s="1">
        <x:f t="shared" si="46"/>
        <x:v>4408</x:v>
      </x:c>
      <x:c r="B157" s="1" t="str">
        <x:f>B145</x:f>
        <x:v>(버프) 전기 타워</x:v>
      </x:c>
      <x:c r="C157" s="1">
        <x:v>1</x:v>
      </x:c>
      <x:c r="D157" s="1">
        <x:v>5</x:v>
      </x:c>
      <x:c r="E157" s="1">
        <x:f>E153+2</x:f>
        <x:v>4</x:v>
      </x:c>
      <x:c r="F157" s="1">
        <x:v>1</x:v>
      </x:c>
      <x:c r="G157" s="1" t="b">
        <x:v>0</x:v>
      </x:c>
      <x:c r="H157" s="1">
        <x:v>0</x:v>
      </x:c>
      <x:c r="I157" s="1">
        <x:v>0</x:v>
      </x:c>
      <x:c r="J157" s="1">
        <x:f t="shared" si="45"/>
        <x:v>1</x:v>
      </x:c>
      <x:c r="K157" s="1">
        <x:v>500</x:v>
      </x:c>
      <x:c r="L157" s="1" t="str">
        <x:f t="shared" si="47"/>
        <x:v>Buff</x:v>
      </x:c>
      <x:c r="M157" s="1" t="str">
        <x:f t="shared" si="44"/>
        <x:v>Tower</x:v>
      </x:c>
      <x:c r="N157" s="1" t="str">
        <x:f>N153</x:f>
        <x:v>Chain</x:v>
      </x:c>
      <x:c r="O157" s="1" t="str">
        <x:f>O153</x:f>
        <x:v>None</x:v>
      </x:c>
      <x:c r="P157" s="1">
        <x:v>1</x:v>
      </x:c>
      <x:c r="Q157" s="1">
        <x:v>0</x:v>
      </x:c>
      <x:c r="R157" s="1">
        <x:f t="shared" si="1"/>
        <x:v>3408</x:v>
      </x:c>
    </x:row>
    <x:row r="158" spans="1:18">
      <x:c r="A158" s="1">
        <x:f t="shared" si="46"/>
        <x:v>5108</x:v>
      </x:c>
      <x:c r="B158" s="1" t="str">
        <x:f>B142</x:f>
        <x:v>(광역) 전기 타워</x:v>
      </x:c>
      <x:c r="C158" s="1">
        <x:v>1</x:v>
      </x:c>
      <x:c r="D158" s="1">
        <x:f>ROUND(D154*4.2,2)</x:f>
        <x:v>36.289999999999999</x:v>
      </x:c>
      <x:c r="E158" s="1">
        <x:f>ROUND(E154*1.25,2)</x:f>
        <x:v>3.4399999999999999</x:v>
      </x:c>
      <x:c r="F158" s="1">
        <x:f>ROUND(F154*3,2)</x:f>
        <x:v>15.69</x:v>
      </x:c>
      <x:c r="G158" s="1" t="b">
        <x:v>0</x:v>
      </x:c>
      <x:c r="H158" s="1">
        <x:f>IF(H154*1.8&lt;=1,H154*1.8,1)</x:f>
        <x:v>0.024192000000000002</x:v>
      </x:c>
      <x:c r="I158" s="1">
        <x:f>ROUND(I154*2.8,2)</x:f>
        <x:v>40.32</x:v>
      </x:c>
      <x:c r="J158" s="1">
        <x:f>ROUND(J142*5,2)</x:f>
        <x:v>2.5</x:v>
      </x:c>
      <x:c r="K158" s="1">
        <x:v>525</x:v>
      </x:c>
      <x:c r="L158" s="1" t="str">
        <x:f t="shared" si="47"/>
        <x:v>Splash</x:v>
      </x:c>
      <x:c r="M158" s="1" t="str">
        <x:f t="shared" si="44"/>
        <x:v>Enemy</x:v>
      </x:c>
      <x:c r="N158" s="1" t="s">
        <x:v>35</x:v>
      </x:c>
      <x:c r="O158" s="1" t="str">
        <x:f>O142</x:f>
        <x:v>Weak</x:v>
      </x:c>
      <x:c r="P158" s="1">
        <x:v>10</x:v>
      </x:c>
      <x:c r="Q158" s="1">
        <x:f>Q142*3</x:f>
        <x:v>9</x:v>
      </x:c>
      <x:c r="R158" s="1">
        <x:f t="shared" si="1"/>
        <x:v>4108</x:v>
      </x:c>
    </x:row>
    <x:row r="159" spans="1:18">
      <x:c r="A159" s="1">
        <x:f t="shared" si="46"/>
        <x:v>5208</x:v>
      </x:c>
      <x:c r="B159" s="1" t="str">
        <x:f>B143</x:f>
        <x:v>(단일) 전기 타워</x:v>
      </x:c>
      <x:c r="C159" s="1">
        <x:v>1</x:v>
      </x:c>
      <x:c r="D159" s="1">
        <x:f>ROUND(D155*5,2)</x:f>
        <x:v>28.199999999999999</x:v>
      </x:c>
      <x:c r="E159" s="1">
        <x:f t="shared" ref="E159:E160" si="48">ROUND(E155*1.25,2)</x:f>
        <x:v>3.4399999999999999</x:v>
      </x:c>
      <x:c r="F159" s="1">
        <x:f>ROUND(F155*4,2)</x:f>
        <x:v>35.880000000000003</x:v>
      </x:c>
      <x:c r="G159" s="1" t="b">
        <x:v>0</x:v>
      </x:c>
      <x:c r="H159" s="1">
        <x:f>IF(H155*1.8&lt;=1,H155*1.8,1)</x:f>
        <x:v>0.038707199999999997</x:v>
      </x:c>
      <x:c r="I159" s="1">
        <x:f>ROUND(I155*2.8,2)</x:f>
        <x:v>33.259999999999998</x:v>
      </x:c>
      <x:c r="J159" s="1">
        <x:f t="shared" si="45"/>
        <x:v>0</x:v>
      </x:c>
      <x:c r="K159" s="1">
        <x:v>0</x:v>
      </x:c>
      <x:c r="L159" s="1" t="str">
        <x:f t="shared" si="47"/>
        <x:v>Target</x:v>
      </x:c>
      <x:c r="M159" s="1" t="str">
        <x:f t="shared" si="44"/>
        <x:v>Enemy</x:v>
      </x:c>
      <x:c r="N159" s="1" t="s">
        <x:v>35</x:v>
      </x:c>
      <x:c r="O159" s="1" t="s">
        <x:v>35</x:v>
      </x:c>
      <x:c r="P159" s="1">
        <x:v>15</x:v>
      </x:c>
      <x:c r="Q159" s="1">
        <x:v>0</x:v>
      </x:c>
      <x:c r="R159" s="1">
        <x:f t="shared" si="1"/>
        <x:v>4208</x:v>
      </x:c>
    </x:row>
    <x:row r="160" spans="1:18">
      <x:c r="A160" s="1">
        <x:f t="shared" si="46"/>
        <x:v>5308</x:v>
      </x:c>
      <x:c r="B160" s="1" t="str">
        <x:f>B144</x:f>
        <x:v>(함정) 전기 타워</x:v>
      </x:c>
      <x:c r="C160" s="1">
        <x:v>1</x:v>
      </x:c>
      <x:c r="D160" s="1">
        <x:f>ROUND(D156*5,2)</x:f>
        <x:v>375</x:v>
      </x:c>
      <x:c r="E160" s="1">
        <x:f t="shared" si="48"/>
        <x:v>3.4399999999999999</x:v>
      </x:c>
      <x:c r="F160" s="1">
        <x:f>ROUND(F156*3,2)</x:f>
        <x:v>1.8</x:v>
      </x:c>
      <x:c r="G160" s="1" t="b">
        <x:v>0</x:v>
      </x:c>
      <x:c r="H160" s="1">
        <x:v>0</x:v>
      </x:c>
      <x:c r="I160" s="1">
        <x:v>0</x:v>
      </x:c>
      <x:c r="J160" s="1">
        <x:f t="shared" si="45"/>
        <x:v>30</x:v>
      </x:c>
      <x:c r="K160" s="1">
        <x:v>0</x:v>
      </x:c>
      <x:c r="L160" s="1" t="str">
        <x:f t="shared" si="47"/>
        <x:v>Trap</x:v>
      </x:c>
      <x:c r="M160" s="1" t="str">
        <x:f t="shared" si="44"/>
        <x:v>Enemy</x:v>
      </x:c>
      <x:c r="N160" s="1" t="s">
        <x:v>35</x:v>
      </x:c>
      <x:c r="O160" s="1" t="s">
        <x:v>35</x:v>
      </x:c>
      <x:c r="P160" s="1">
        <x:v>1</x:v>
      </x:c>
      <x:c r="Q160" s="1">
        <x:f>Q144*3</x:f>
        <x:v>6</x:v>
      </x:c>
      <x:c r="R160" s="1">
        <x:f t="shared" si="1"/>
        <x:v>4308</x:v>
      </x:c>
    </x:row>
    <x:row r="161" spans="1:18">
      <x:c r="A161" s="1">
        <x:f t="shared" si="46"/>
        <x:v>5408</x:v>
      </x:c>
      <x:c r="B161" s="1" t="str">
        <x:f>B145</x:f>
        <x:v>(버프) 전기 타워</x:v>
      </x:c>
      <x:c r="C161" s="1">
        <x:v>1</x:v>
      </x:c>
      <x:c r="D161" s="1">
        <x:v>10</x:v>
      </x:c>
      <x:c r="E161" s="1">
        <x:f>E157+3</x:f>
        <x:v>7</x:v>
      </x:c>
      <x:c r="F161" s="1">
        <x:v>1</x:v>
      </x:c>
      <x:c r="G161" s="1" t="b">
        <x:v>0</x:v>
      </x:c>
      <x:c r="H161" s="1">
        <x:v>0</x:v>
      </x:c>
      <x:c r="I161" s="1">
        <x:v>0</x:v>
      </x:c>
      <x:c r="J161" s="1">
        <x:f t="shared" si="45"/>
        <x:v>1</x:v>
      </x:c>
      <x:c r="K161" s="1">
        <x:v>1500</x:v>
      </x:c>
      <x:c r="L161" s="1" t="str">
        <x:f t="shared" si="47"/>
        <x:v>Buff</x:v>
      </x:c>
      <x:c r="M161" s="1" t="str">
        <x:f t="shared" si="44"/>
        <x:v>Tower</x:v>
      </x:c>
      <x:c r="N161" s="1" t="str">
        <x:f>N157</x:f>
        <x:v>Chain</x:v>
      </x:c>
      <x:c r="O161" s="1" t="str">
        <x:f>O157</x:f>
        <x:v>None</x:v>
      </x:c>
      <x:c r="P161" s="1">
        <x:v>1</x:v>
      </x:c>
      <x:c r="Q161" s="1">
        <x:v>0</x:v>
      </x:c>
      <x:c r="R161" s="1">
        <x:f t="shared" si="1"/>
        <x:v>4408</x:v>
      </x:c>
    </x:row>
    <x:row r="162" spans="1:18">
      <x:c r="A162" s="1">
        <x:v>1109</x:v>
      </x:c>
      <x:c r="B162" s="1" t="s">
        <x:v>6</x:v>
      </x:c>
      <x:c r="C162" s="1">
        <x:v>1</x:v>
      </x:c>
      <x:c r="D162" s="1">
        <x:v>2.2000000000000002</x:v>
      </x:c>
      <x:c r="E162" s="1">
        <x:v>2.5</x:v>
      </x:c>
      <x:c r="F162" s="1">
        <x:v>0.17999999999999999</x:v>
      </x:c>
      <x:c r="G162" s="1" t="b">
        <x:v>0</x:v>
      </x:c>
      <x:c r="H162" s="1">
        <x:v>0.14000000000000001</x:v>
      </x:c>
      <x:c r="I162" s="1">
        <x:v>0.010000000000000001</x:v>
      </x:c>
      <x:c r="J162" s="1">
        <x:v>0.5</x:v>
      </x:c>
      <x:c r="K162" s="1">
        <x:v>8.6957000000000004</x:v>
      </x:c>
      <x:c r="L162" s="1" t="s">
        <x:v>29</x:v>
      </x:c>
      <x:c r="M162" s="1" t="str">
        <x:f t="shared" ref="M162:M164" si="49">IF(L162="Buff","Tower","Enemy")</x:f>
        <x:v>Enemy</x:v>
      </x:c>
      <x:c r="N162" s="1" t="s">
        <x:v>35</x:v>
      </x:c>
      <x:c r="O162" s="1" t="s">
        <x:v>41</x:v>
      </x:c>
      <x:c r="P162" s="1">
        <x:v>10</x:v>
      </x:c>
      <x:c r="Q162" s="1">
        <x:v>3</x:v>
      </x:c>
      <x:c r="R162" s="1">
        <x:f t="shared" si="1"/>
        <x:v>109</x:v>
      </x:c>
    </x:row>
    <x:row r="163" spans="1:18">
      <x:c r="A163" s="1">
        <x:f>A162+100</x:f>
        <x:v>1209</x:v>
      </x:c>
      <x:c r="B163" s="1" t="s">
        <x:v>23</x:v>
      </x:c>
      <x:c r="C163" s="1">
        <x:v>1</x:v>
      </x:c>
      <x:c r="D163" s="1">
        <x:v>0.40000000000000002</x:v>
      </x:c>
      <x:c r="E163" s="1">
        <x:v>2.5</x:v>
      </x:c>
      <x:c r="F163" s="1">
        <x:v>0.87</x:v>
      </x:c>
      <x:c r="G163" s="1" t="b">
        <x:v>0</x:v>
      </x:c>
      <x:c r="H163" s="1">
        <x:v>0.10100000000000001</x:v>
      </x:c>
      <x:c r="I163" s="1">
        <x:v>0.65000000000000002</x:v>
      </x:c>
      <x:c r="J163" s="1">
        <x:v>0</x:v>
      </x:c>
      <x:c r="K163" s="1">
        <x:v>0</x:v>
      </x:c>
      <x:c r="L163" s="1" t="s">
        <x:v>26</x:v>
      </x:c>
      <x:c r="M163" s="1" t="str">
        <x:f t="shared" si="49"/>
        <x:v>Enemy</x:v>
      </x:c>
      <x:c r="N163" s="1" t="s">
        <x:v>35</x:v>
      </x:c>
      <x:c r="O163" s="1" t="s">
        <x:v>35</x:v>
      </x:c>
      <x:c r="P163" s="1">
        <x:v>15</x:v>
      </x:c>
      <x:c r="Q163" s="1">
        <x:v>0</x:v>
      </x:c>
      <x:c r="R163" s="1">
        <x:f t="shared" si="1"/>
        <x:v>209</x:v>
      </x:c>
    </x:row>
    <x:row r="164" spans="1:18">
      <x:c r="A164" s="1">
        <x:f>A162+200</x:f>
        <x:v>1309</x:v>
      </x:c>
      <x:c r="B164" s="1" t="s">
        <x:v>15</x:v>
      </x:c>
      <x:c r="C164" s="1">
        <x:v>1</x:v>
      </x:c>
      <x:c r="D164" s="1">
        <x:v>2</x:v>
      </x:c>
      <x:c r="E164" s="1">
        <x:v>2.5</x:v>
      </x:c>
      <x:c r="F164" s="1">
        <x:v>0.10000000000000001</x:v>
      </x:c>
      <x:c r="G164" s="1" t="b">
        <x:v>0</x:v>
      </x:c>
      <x:c r="H164" s="1">
        <x:v>0</x:v>
      </x:c>
      <x:c r="I164" s="1">
        <x:v>0</x:v>
      </x:c>
      <x:c r="J164" s="1">
        <x:v>30</x:v>
      </x:c>
      <x:c r="K164" s="1">
        <x:v>0</x:v>
      </x:c>
      <x:c r="L164" s="1" t="s">
        <x:v>42</x:v>
      </x:c>
      <x:c r="M164" s="1" t="str">
        <x:f t="shared" si="49"/>
        <x:v>Enemy</x:v>
      </x:c>
      <x:c r="N164" s="1" t="s">
        <x:v>35</x:v>
      </x:c>
      <x:c r="O164" s="1" t="s">
        <x:v>35</x:v>
      </x:c>
      <x:c r="P164" s="1">
        <x:v>1</x:v>
      </x:c>
      <x:c r="Q164" s="1">
        <x:v>2</x:v>
      </x:c>
      <x:c r="R164" s="1">
        <x:f t="shared" si="1"/>
        <x:v>309</x:v>
      </x:c>
    </x:row>
    <x:row r="165" spans="1:18">
      <x:c r="A165" s="1">
        <x:f>A162+300</x:f>
        <x:v>1409</x:v>
      </x:c>
      <x:c r="B165" s="1" t="s">
        <x:v>8</x:v>
      </x:c>
      <x:c r="C165" s="1">
        <x:v>1</x:v>
      </x:c>
      <x:c r="D165" s="1">
        <x:v>0</x:v>
      </x:c>
      <x:c r="E165" s="1">
        <x:v>1</x:v>
      </x:c>
      <x:c r="F165" s="1">
        <x:v>1</x:v>
      </x:c>
      <x:c r="G165" s="1" t="b">
        <x:v>0</x:v>
      </x:c>
      <x:c r="H165" s="1">
        <x:v>0</x:v>
      </x:c>
      <x:c r="I165" s="1">
        <x:v>0</x:v>
      </x:c>
      <x:c r="J165" s="1">
        <x:v>1</x:v>
      </x:c>
      <x:c r="K165" s="1">
        <x:f>IF(L165="Buff",1.2,8.6957)</x:f>
        <x:v>1.2</x:v>
      </x:c>
      <x:c r="L165" s="1" t="s">
        <x:v>32</x:v>
      </x:c>
      <x:c r="M165" s="1" t="str">
        <x:f>IF(L165="Buff","Tower","Enemy")</x:f>
        <x:v>Tower</x:v>
      </x:c>
      <x:c r="N165" s="1" t="s">
        <x:v>16</x:v>
      </x:c>
      <x:c r="O165" s="1" t="s">
        <x:v>35</x:v>
      </x:c>
      <x:c r="P165" s="1">
        <x:v>1</x:v>
      </x:c>
      <x:c r="Q165" s="1">
        <x:v>0</x:v>
      </x:c>
      <x:c r="R165" s="1">
        <x:f t="shared" si="1"/>
        <x:v>409</x:v>
      </x:c>
    </x:row>
    <x:row r="166" spans="1:18">
      <x:c r="A166" s="1">
        <x:f>A162+1000</x:f>
        <x:v>2109</x:v>
      </x:c>
      <x:c r="B166" s="1" t="str">
        <x:f>B162</x:f>
        <x:v>(광역) 바람 타워</x:v>
      </x:c>
      <x:c r="C166" s="1">
        <x:v>1</x:v>
      </x:c>
      <x:c r="D166" s="1">
        <x:f>ROUND(D162*1.8,2)</x:f>
        <x:v>3.96</x:v>
      </x:c>
      <x:c r="E166" s="1">
        <x:f>ROUND(E162,2)</x:f>
        <x:v>2.5</x:v>
      </x:c>
      <x:c r="F166" s="1">
        <x:f>ROUND(F162*2.1,2)</x:f>
        <x:v>0.38</x:v>
      </x:c>
      <x:c r="G166" s="1" t="b">
        <x:v>0</x:v>
      </x:c>
      <x:c r="H166" s="1">
        <x:f>IF(H162*1.2&lt;=1,H162*1.2,1)</x:f>
        <x:v>0.16800000000000001</x:v>
      </x:c>
      <x:c r="I166" s="1">
        <x:f>ROUND(I162*1.2,2)</x:f>
        <x:v>0.010000000000000001</x:v>
      </x:c>
      <x:c r="J166" s="1">
        <x:f>ROUND(J162*1.5,2)</x:f>
        <x:v>0.75</x:v>
      </x:c>
      <x:c r="K166" s="1">
        <x:v>25</x:v>
      </x:c>
      <x:c r="L166" s="1" t="str">
        <x:f>L162</x:f>
        <x:v>Splash</x:v>
      </x:c>
      <x:c r="M166" s="1" t="str">
        <x:f t="shared" ref="M166:M181" si="50">IF(L166="Buff","Tower","Enemy")</x:f>
        <x:v>Enemy</x:v>
      </x:c>
      <x:c r="N166" s="1" t="s">
        <x:v>35</x:v>
      </x:c>
      <x:c r="O166" s="1" t="str">
        <x:f>O162</x:f>
        <x:v>Push</x:v>
      </x:c>
      <x:c r="P166" s="1">
        <x:v>10</x:v>
      </x:c>
      <x:c r="Q166" s="1">
        <x:f>Q162</x:f>
        <x:v>3</x:v>
      </x:c>
      <x:c r="R166" s="1">
        <x:f t="shared" si="1"/>
        <x:v>1109</x:v>
      </x:c>
    </x:row>
    <x:row r="167" spans="1:18">
      <x:c r="A167" s="1">
        <x:f>A163+1000</x:f>
        <x:v>2209</x:v>
      </x:c>
      <x:c r="B167" s="1" t="str">
        <x:f>B163</x:f>
        <x:v>(단일) 바람 타워</x:v>
      </x:c>
      <x:c r="C167" s="1">
        <x:v>1</x:v>
      </x:c>
      <x:c r="D167" s="1">
        <x:f>ROUND(D163*1.7,2)</x:f>
        <x:v>0.68000000000000005</x:v>
      </x:c>
      <x:c r="E167" s="1">
        <x:f>ROUND(E163,2)</x:f>
        <x:v>2.5</x:v>
      </x:c>
      <x:c r="F167" s="1">
        <x:f>ROUND(F163*2.2,2)</x:f>
        <x:v>1.9099999999999999</x:v>
      </x:c>
      <x:c r="G167" s="1" t="b">
        <x:v>0</x:v>
      </x:c>
      <x:c r="H167" s="1">
        <x:f>IF(H163*1.2&lt;=1,H163*1.2,1)</x:f>
        <x:v>0.1212</x:v>
      </x:c>
      <x:c r="I167" s="1">
        <x:f>ROUND(I163*1.2,2)</x:f>
        <x:v>0.78000000000000003</x:v>
      </x:c>
      <x:c r="J167" s="1">
        <x:f t="shared" ref="J167:J181" si="51">J163</x:f>
        <x:v>0</x:v>
      </x:c>
      <x:c r="K167" s="1">
        <x:v>0</x:v>
      </x:c>
      <x:c r="L167" s="1" t="str">
        <x:f>L163</x:f>
        <x:v>Target</x:v>
      </x:c>
      <x:c r="M167" s="1" t="str">
        <x:f t="shared" si="50"/>
        <x:v>Enemy</x:v>
      </x:c>
      <x:c r="N167" s="1" t="s">
        <x:v>35</x:v>
      </x:c>
      <x:c r="O167" s="1" t="s">
        <x:v>35</x:v>
      </x:c>
      <x:c r="P167" s="1">
        <x:v>15</x:v>
      </x:c>
      <x:c r="Q167" s="1">
        <x:v>0</x:v>
      </x:c>
      <x:c r="R167" s="1">
        <x:f t="shared" si="1"/>
        <x:v>1209</x:v>
      </x:c>
    </x:row>
    <x:row r="168" spans="1:18">
      <x:c r="A168" s="1">
        <x:f t="shared" ref="A168:A181" si="52">A164+1000</x:f>
        <x:v>2309</x:v>
      </x:c>
      <x:c r="B168" s="1" t="str">
        <x:f>B164</x:f>
        <x:v>(함정) 바람 타워</x:v>
      </x:c>
      <x:c r="C168" s="1">
        <x:v>1</x:v>
      </x:c>
      <x:c r="D168" s="1">
        <x:f>ROUND(D164*2,2)</x:f>
        <x:v>4</x:v>
      </x:c>
      <x:c r="E168" s="1">
        <x:f>ROUND(E164,2)</x:f>
        <x:v>2.5</x:v>
      </x:c>
      <x:c r="F168" s="1">
        <x:f>ROUND(F164*2.1,2)</x:f>
        <x:v>0.20999999999999999</x:v>
      </x:c>
      <x:c r="G168" s="1" t="b">
        <x:v>0</x:v>
      </x:c>
      <x:c r="H168" s="1">
        <x:v>0</x:v>
      </x:c>
      <x:c r="I168" s="1">
        <x:v>0</x:v>
      </x:c>
      <x:c r="J168" s="1">
        <x:f t="shared" si="51"/>
        <x:v>30</x:v>
      </x:c>
      <x:c r="K168" s="1">
        <x:v>0</x:v>
      </x:c>
      <x:c r="L168" s="1" t="str">
        <x:f>L164</x:f>
        <x:v>Trap</x:v>
      </x:c>
      <x:c r="M168" s="1" t="str">
        <x:f t="shared" si="50"/>
        <x:v>Enemy</x:v>
      </x:c>
      <x:c r="N168" s="1" t="s">
        <x:v>35</x:v>
      </x:c>
      <x:c r="O168" s="1" t="s">
        <x:v>35</x:v>
      </x:c>
      <x:c r="P168" s="1">
        <x:v>1</x:v>
      </x:c>
      <x:c r="Q168" s="1">
        <x:f>Q164</x:f>
        <x:v>2</x:v>
      </x:c>
      <x:c r="R168" s="1">
        <x:f t="shared" si="1"/>
        <x:v>1309</x:v>
      </x:c>
    </x:row>
    <x:row r="169" spans="1:18">
      <x:c r="A169" s="1">
        <x:f t="shared" si="52"/>
        <x:v>2409</x:v>
      </x:c>
      <x:c r="B169" s="1" t="str">
        <x:f>B165</x:f>
        <x:v>(버프) 바람 타워</x:v>
      </x:c>
      <x:c r="C169" s="1">
        <x:v>1</x:v>
      </x:c>
      <x:c r="D169" s="1">
        <x:v>0</x:v>
      </x:c>
      <x:c r="E169" s="1">
        <x:f>E165+0</x:f>
        <x:v>1</x:v>
      </x:c>
      <x:c r="F169" s="1">
        <x:v>1</x:v>
      </x:c>
      <x:c r="G169" s="1" t="b">
        <x:v>0</x:v>
      </x:c>
      <x:c r="H169" s="1">
        <x:v>0</x:v>
      </x:c>
      <x:c r="I169" s="1">
        <x:v>0</x:v>
      </x:c>
      <x:c r="J169" s="1">
        <x:f t="shared" si="51"/>
        <x:v>1</x:v>
      </x:c>
      <x:c r="K169" s="1">
        <x:f>IF(L169="Buff",1.4,25)</x:f>
        <x:v>1.3999999999999999</x:v>
      </x:c>
      <x:c r="L169" s="1" t="str">
        <x:f>L165</x:f>
        <x:v>Buff</x:v>
      </x:c>
      <x:c r="M169" s="1" t="str">
        <x:f t="shared" si="50"/>
        <x:v>Tower</x:v>
      </x:c>
      <x:c r="N169" s="1" t="str">
        <x:f>N165</x:f>
        <x:v>AttackSpeed</x:v>
      </x:c>
      <x:c r="O169" s="1" t="str">
        <x:f>O165</x:f>
        <x:v>None</x:v>
      </x:c>
      <x:c r="P169" s="1">
        <x:v>1</x:v>
      </x:c>
      <x:c r="Q169" s="1">
        <x:v>0</x:v>
      </x:c>
      <x:c r="R169" s="1">
        <x:f t="shared" si="1"/>
        <x:v>1409</x:v>
      </x:c>
    </x:row>
    <x:row r="170" spans="1:18">
      <x:c r="A170" s="1">
        <x:f t="shared" si="52"/>
        <x:v>3109</x:v>
      </x:c>
      <x:c r="B170" s="1" t="str">
        <x:f>B162</x:f>
        <x:v>(광역) 바람 타워</x:v>
      </x:c>
      <x:c r="C170" s="1">
        <x:v>1</x:v>
      </x:c>
      <x:c r="D170" s="1">
        <x:f>ROUND(D166*2.25,2)</x:f>
        <x:v>8.9100000000000001</x:v>
      </x:c>
      <x:c r="E170" s="1">
        <x:f>ROUND(E166,2)</x:f>
        <x:v>2.5</x:v>
      </x:c>
      <x:c r="F170" s="1">
        <x:f>ROUND(F166*2.2,2)</x:f>
        <x:v>0.83999999999999997</x:v>
      </x:c>
      <x:c r="G170" s="1" t="b">
        <x:v>0</x:v>
      </x:c>
      <x:c r="H170" s="1">
        <x:f>IF(H166*1.4&lt;=1,H166*1.4,1)</x:f>
        <x:v>0.23519999999999999</x:v>
      </x:c>
      <x:c r="I170" s="1">
        <x:f>ROUND(I166*1.5,2)</x:f>
        <x:v>0.020000000000000001</x:v>
      </x:c>
      <x:c r="J170" s="1">
        <x:f>ROUND(J162*2,2)</x:f>
        <x:v>1</x:v>
      </x:c>
      <x:c r="K170" s="1">
        <x:v>60</x:v>
      </x:c>
      <x:c r="L170" s="1" t="str">
        <x:f t="shared" ref="L170:L181" si="53">L166</x:f>
        <x:v>Splash</x:v>
      </x:c>
      <x:c r="M170" s="1" t="str">
        <x:f t="shared" si="50"/>
        <x:v>Enemy</x:v>
      </x:c>
      <x:c r="N170" s="1" t="s">
        <x:v>35</x:v>
      </x:c>
      <x:c r="O170" s="1" t="str">
        <x:f>O162</x:f>
        <x:v>Push</x:v>
      </x:c>
      <x:c r="P170" s="1">
        <x:v>10</x:v>
      </x:c>
      <x:c r="Q170" s="1">
        <x:f>Q162*1.5</x:f>
        <x:v>4.5</x:v>
      </x:c>
      <x:c r="R170" s="1">
        <x:f t="shared" si="1"/>
        <x:v>2109</x:v>
      </x:c>
    </x:row>
    <x:row r="171" spans="1:18">
      <x:c r="A171" s="1">
        <x:f t="shared" si="52"/>
        <x:v>3209</x:v>
      </x:c>
      <x:c r="B171" s="1" t="str">
        <x:f>B163</x:f>
        <x:v>(단일) 바람 타워</x:v>
      </x:c>
      <x:c r="C171" s="1">
        <x:v>1</x:v>
      </x:c>
      <x:c r="D171" s="1">
        <x:f>ROUND(D167*2,2)</x:f>
        <x:v>1.3600000000000001</x:v>
      </x:c>
      <x:c r="E171" s="1">
        <x:f>ROUND(E167,2)</x:f>
        <x:v>2.5</x:v>
      </x:c>
      <x:c r="F171" s="1">
        <x:f>ROUND(F167*2.4,2)</x:f>
        <x:v>4.5800000000000001</x:v>
      </x:c>
      <x:c r="G171" s="1" t="b">
        <x:v>0</x:v>
      </x:c>
      <x:c r="H171" s="1">
        <x:f>IF(H167*1.4&lt;=1,H167*1.4,1)</x:f>
        <x:v>0.16968</x:v>
      </x:c>
      <x:c r="I171" s="1">
        <x:f>ROUND(I167*1.5,2)</x:f>
        <x:v>1.1699999999999999</x:v>
      </x:c>
      <x:c r="J171" s="1">
        <x:f t="shared" si="51"/>
        <x:v>0</x:v>
      </x:c>
      <x:c r="K171" s="1">
        <x:v>0</x:v>
      </x:c>
      <x:c r="L171" s="1" t="str">
        <x:f t="shared" si="53"/>
        <x:v>Target</x:v>
      </x:c>
      <x:c r="M171" s="1" t="str">
        <x:f t="shared" si="50"/>
        <x:v>Enemy</x:v>
      </x:c>
      <x:c r="N171" s="1" t="s">
        <x:v>35</x:v>
      </x:c>
      <x:c r="O171" s="1" t="s">
        <x:v>35</x:v>
      </x:c>
      <x:c r="P171" s="1">
        <x:v>15</x:v>
      </x:c>
      <x:c r="Q171" s="1">
        <x:v>0</x:v>
      </x:c>
      <x:c r="R171" s="1">
        <x:f t="shared" si="1"/>
        <x:v>2209</x:v>
      </x:c>
    </x:row>
    <x:row r="172" spans="1:18">
      <x:c r="A172" s="1">
        <x:f t="shared" si="52"/>
        <x:v>3309</x:v>
      </x:c>
      <x:c r="B172" s="1" t="str">
        <x:f>B164</x:f>
        <x:v>(함정) 바람 타워</x:v>
      </x:c>
      <x:c r="C172" s="1">
        <x:v>1</x:v>
      </x:c>
      <x:c r="D172" s="1">
        <x:f>ROUND(D168*2.5,2)</x:f>
        <x:v>10</x:v>
      </x:c>
      <x:c r="E172" s="1">
        <x:f>ROUND(E168,2)</x:f>
        <x:v>2.5</x:v>
      </x:c>
      <x:c r="F172" s="1">
        <x:f>ROUND(F168*2.2,2)</x:f>
        <x:v>0.46000000000000002</x:v>
      </x:c>
      <x:c r="G172" s="1" t="b">
        <x:v>0</x:v>
      </x:c>
      <x:c r="H172" s="1">
        <x:v>0</x:v>
      </x:c>
      <x:c r="I172" s="1">
        <x:v>0</x:v>
      </x:c>
      <x:c r="J172" s="1">
        <x:f t="shared" si="51"/>
        <x:v>30</x:v>
      </x:c>
      <x:c r="K172" s="1">
        <x:v>0</x:v>
      </x:c>
      <x:c r="L172" s="1" t="str">
        <x:f t="shared" si="53"/>
        <x:v>Trap</x:v>
      </x:c>
      <x:c r="M172" s="1" t="str">
        <x:f t="shared" si="50"/>
        <x:v>Enemy</x:v>
      </x:c>
      <x:c r="N172" s="1" t="s">
        <x:v>35</x:v>
      </x:c>
      <x:c r="O172" s="1" t="s">
        <x:v>35</x:v>
      </x:c>
      <x:c r="P172" s="1">
        <x:v>1</x:v>
      </x:c>
      <x:c r="Q172" s="1">
        <x:f>Q164*1.5</x:f>
        <x:v>3</x:v>
      </x:c>
      <x:c r="R172" s="1">
        <x:f t="shared" si="1"/>
        <x:v>2309</x:v>
      </x:c>
    </x:row>
    <x:row r="173" spans="1:18">
      <x:c r="A173" s="1">
        <x:f t="shared" si="52"/>
        <x:v>3409</x:v>
      </x:c>
      <x:c r="B173" s="1" t="str">
        <x:f>B165</x:f>
        <x:v>(버프) 바람 타워</x:v>
      </x:c>
      <x:c r="C173" s="1">
        <x:v>1</x:v>
      </x:c>
      <x:c r="D173" s="1">
        <x:v>0</x:v>
      </x:c>
      <x:c r="E173" s="1">
        <x:f>E169+1</x:f>
        <x:v>2</x:v>
      </x:c>
      <x:c r="F173" s="1">
        <x:v>1</x:v>
      </x:c>
      <x:c r="G173" s="1" t="b">
        <x:v>0</x:v>
      </x:c>
      <x:c r="H173" s="1">
        <x:v>0</x:v>
      </x:c>
      <x:c r="I173" s="1">
        <x:v>0</x:v>
      </x:c>
      <x:c r="J173" s="1">
        <x:f t="shared" si="51"/>
        <x:v>1</x:v>
      </x:c>
      <x:c r="K173" s="1">
        <x:f>IF(L173="Buff",2,60)</x:f>
        <x:v>2</x:v>
      </x:c>
      <x:c r="L173" s="1" t="str">
        <x:f t="shared" si="53"/>
        <x:v>Buff</x:v>
      </x:c>
      <x:c r="M173" s="1" t="str">
        <x:f t="shared" si="50"/>
        <x:v>Tower</x:v>
      </x:c>
      <x:c r="N173" s="1" t="str">
        <x:f>N169</x:f>
        <x:v>AttackSpeed</x:v>
      </x:c>
      <x:c r="O173" s="1" t="str">
        <x:f>O169</x:f>
        <x:v>None</x:v>
      </x:c>
      <x:c r="P173" s="1">
        <x:v>1</x:v>
      </x:c>
      <x:c r="Q173" s="1">
        <x:v>0</x:v>
      </x:c>
      <x:c r="R173" s="1">
        <x:f t="shared" si="1"/>
        <x:v>2409</x:v>
      </x:c>
    </x:row>
    <x:row r="174" spans="1:18">
      <x:c r="A174" s="1">
        <x:f t="shared" si="52"/>
        <x:v>4109</x:v>
      </x:c>
      <x:c r="B174" s="1" t="str">
        <x:f>B162</x:f>
        <x:v>(광역) 바람 타워</x:v>
      </x:c>
      <x:c r="C174" s="1">
        <x:v>1</x:v>
      </x:c>
      <x:c r="D174" s="1">
        <x:f>ROUND(D170*3,2)</x:f>
        <x:v>26.73</x:v>
      </x:c>
      <x:c r="E174" s="1">
        <x:f>ROUND(E170*1.1,2)</x:f>
        <x:v>2.75</x:v>
      </x:c>
      <x:c r="F174" s="1">
        <x:f>ROUND(F170*2.5,2)</x:f>
        <x:v>2.1000000000000001</x:v>
      </x:c>
      <x:c r="G174" s="1" t="b">
        <x:v>0</x:v>
      </x:c>
      <x:c r="H174" s="1">
        <x:f>IF(H170*1.6&lt;=1,H170*1.6,1)</x:f>
        <x:v>0.37631999999999999</x:v>
      </x:c>
      <x:c r="I174" s="1">
        <x:f>ROUND(I170*2,2)</x:f>
        <x:v>0.040000000000000002</x:v>
      </x:c>
      <x:c r="J174" s="1">
        <x:f>ROUND(J162*3,2)</x:f>
        <x:v>1.5</x:v>
      </x:c>
      <x:c r="K174" s="1">
        <x:v>150</x:v>
      </x:c>
      <x:c r="L174" s="1" t="str">
        <x:f t="shared" si="53"/>
        <x:v>Splash</x:v>
      </x:c>
      <x:c r="M174" s="1" t="str">
        <x:f t="shared" si="50"/>
        <x:v>Enemy</x:v>
      </x:c>
      <x:c r="N174" s="1" t="s">
        <x:v>35</x:v>
      </x:c>
      <x:c r="O174" s="1" t="str">
        <x:f>O162</x:f>
        <x:v>Push</x:v>
      </x:c>
      <x:c r="P174" s="1">
        <x:v>10</x:v>
      </x:c>
      <x:c r="Q174" s="1">
        <x:f>Q162*2</x:f>
        <x:v>6</x:v>
      </x:c>
      <x:c r="R174" s="1">
        <x:f t="shared" si="1"/>
        <x:v>3109</x:v>
      </x:c>
    </x:row>
    <x:row r="175" spans="1:18">
      <x:c r="A175" s="1">
        <x:f t="shared" si="52"/>
        <x:v>4209</x:v>
      </x:c>
      <x:c r="B175" s="1" t="str">
        <x:f>B163</x:f>
        <x:v>(단일) 바람 타워</x:v>
      </x:c>
      <x:c r="C175" s="1">
        <x:v>1</x:v>
      </x:c>
      <x:c r="D175" s="1">
        <x:f>ROUND(D171*3,2)</x:f>
        <x:v>4.0800000000000001</x:v>
      </x:c>
      <x:c r="E175" s="1">
        <x:f>ROUND(E171*1.1,2)</x:f>
        <x:v>2.75</x:v>
      </x:c>
      <x:c r="F175" s="1">
        <x:f>ROUND(F171*2.75,2)</x:f>
        <x:v>12.6</x:v>
      </x:c>
      <x:c r="G175" s="1" t="b">
        <x:v>0</x:v>
      </x:c>
      <x:c r="H175" s="1">
        <x:f>IF(H171*1.6&lt;=1,H171*1.6,1)</x:f>
        <x:v>0.27148800000000001</x:v>
      </x:c>
      <x:c r="I175" s="1">
        <x:f>ROUND(I171*2,2)</x:f>
        <x:v>2.3399999999999999</x:v>
      </x:c>
      <x:c r="J175" s="1">
        <x:f t="shared" si="51"/>
        <x:v>0</x:v>
      </x:c>
      <x:c r="K175" s="1">
        <x:v>0</x:v>
      </x:c>
      <x:c r="L175" s="1" t="str">
        <x:f t="shared" si="53"/>
        <x:v>Target</x:v>
      </x:c>
      <x:c r="M175" s="1" t="str">
        <x:f t="shared" si="50"/>
        <x:v>Enemy</x:v>
      </x:c>
      <x:c r="N175" s="1" t="s">
        <x:v>35</x:v>
      </x:c>
      <x:c r="O175" s="1" t="s">
        <x:v>35</x:v>
      </x:c>
      <x:c r="P175" s="1">
        <x:v>15</x:v>
      </x:c>
      <x:c r="Q175" s="1">
        <x:v>0</x:v>
      </x:c>
      <x:c r="R175" s="1">
        <x:f t="shared" si="1"/>
        <x:v>3209</x:v>
      </x:c>
    </x:row>
    <x:row r="176" spans="1:18">
      <x:c r="A176" s="1">
        <x:f t="shared" si="52"/>
        <x:v>4309</x:v>
      </x:c>
      <x:c r="B176" s="1" t="str">
        <x:f>B164</x:f>
        <x:v>(함정) 바람 타워</x:v>
      </x:c>
      <x:c r="C176" s="1">
        <x:v>1</x:v>
      </x:c>
      <x:c r="D176" s="1">
        <x:f>ROUND(D172*3,2)</x:f>
        <x:v>30</x:v>
      </x:c>
      <x:c r="E176" s="1">
        <x:f>ROUND(E172*1.1,2)</x:f>
        <x:v>2.75</x:v>
      </x:c>
      <x:c r="F176" s="1">
        <x:f>ROUND(F172*2.5,2)</x:f>
        <x:v>1.1499999999999999</x:v>
      </x:c>
      <x:c r="G176" s="1" t="b">
        <x:v>0</x:v>
      </x:c>
      <x:c r="H176" s="1">
        <x:v>0</x:v>
      </x:c>
      <x:c r="I176" s="1">
        <x:v>0</x:v>
      </x:c>
      <x:c r="J176" s="1">
        <x:f t="shared" si="51"/>
        <x:v>30</x:v>
      </x:c>
      <x:c r="K176" s="1">
        <x:v>0</x:v>
      </x:c>
      <x:c r="L176" s="1" t="str">
        <x:f t="shared" si="53"/>
        <x:v>Trap</x:v>
      </x:c>
      <x:c r="M176" s="1" t="str">
        <x:f t="shared" si="50"/>
        <x:v>Enemy</x:v>
      </x:c>
      <x:c r="N176" s="1" t="s">
        <x:v>35</x:v>
      </x:c>
      <x:c r="O176" s="1" t="s">
        <x:v>35</x:v>
      </x:c>
      <x:c r="P176" s="1">
        <x:v>1</x:v>
      </x:c>
      <x:c r="Q176" s="1">
        <x:f>Q164*2</x:f>
        <x:v>4</x:v>
      </x:c>
      <x:c r="R176" s="1">
        <x:f t="shared" si="1"/>
        <x:v>3309</x:v>
      </x:c>
    </x:row>
    <x:row r="177" spans="1:18">
      <x:c r="A177" s="1">
        <x:f t="shared" si="52"/>
        <x:v>4409</x:v>
      </x:c>
      <x:c r="B177" s="1" t="str">
        <x:f>B165</x:f>
        <x:v>(버프) 바람 타워</x:v>
      </x:c>
      <x:c r="C177" s="1">
        <x:v>1</x:v>
      </x:c>
      <x:c r="D177" s="1">
        <x:v>0</x:v>
      </x:c>
      <x:c r="E177" s="1">
        <x:f>E173+2</x:f>
        <x:v>4</x:v>
      </x:c>
      <x:c r="F177" s="1">
        <x:v>1</x:v>
      </x:c>
      <x:c r="G177" s="1" t="b">
        <x:v>0</x:v>
      </x:c>
      <x:c r="H177" s="1">
        <x:v>0</x:v>
      </x:c>
      <x:c r="I177" s="1">
        <x:v>0</x:v>
      </x:c>
      <x:c r="J177" s="1">
        <x:f t="shared" si="51"/>
        <x:v>1</x:v>
      </x:c>
      <x:c r="K177" s="1">
        <x:f>IF(L177="Buff",3,150)</x:f>
        <x:v>3</x:v>
      </x:c>
      <x:c r="L177" s="1" t="str">
        <x:f t="shared" si="53"/>
        <x:v>Buff</x:v>
      </x:c>
      <x:c r="M177" s="1" t="str">
        <x:f t="shared" si="50"/>
        <x:v>Tower</x:v>
      </x:c>
      <x:c r="N177" s="1" t="str">
        <x:f>N173</x:f>
        <x:v>AttackSpeed</x:v>
      </x:c>
      <x:c r="O177" s="1" t="str">
        <x:f>O173</x:f>
        <x:v>None</x:v>
      </x:c>
      <x:c r="P177" s="1">
        <x:v>1</x:v>
      </x:c>
      <x:c r="Q177" s="1">
        <x:v>0</x:v>
      </x:c>
      <x:c r="R177" s="1">
        <x:f t="shared" si="1"/>
        <x:v>3409</x:v>
      </x:c>
    </x:row>
    <x:row r="178" spans="1:18">
      <x:c r="A178" s="1">
        <x:f t="shared" si="52"/>
        <x:v>5109</x:v>
      </x:c>
      <x:c r="B178" s="1" t="str">
        <x:f>B162</x:f>
        <x:v>(광역) 바람 타워</x:v>
      </x:c>
      <x:c r="C178" s="1">
        <x:v>1</x:v>
      </x:c>
      <x:c r="D178" s="1">
        <x:f>ROUND(D174*4.2,2)</x:f>
        <x:v>112.27</x:v>
      </x:c>
      <x:c r="E178" s="1">
        <x:f>ROUND(E174*1.25,2)</x:f>
        <x:v>3.4399999999999999</x:v>
      </x:c>
      <x:c r="F178" s="1">
        <x:f>ROUND(F174*3,2)</x:f>
        <x:v>6.2999999999999998</x:v>
      </x:c>
      <x:c r="G178" s="1" t="b">
        <x:v>0</x:v>
      </x:c>
      <x:c r="H178" s="1">
        <x:f>IF(H174*1.8&lt;=1,H174*1.8,1)</x:f>
        <x:v>0.67737599999999998</x:v>
      </x:c>
      <x:c r="I178" s="1">
        <x:f>ROUND(I174*2.8,2)</x:f>
        <x:v>0.11</x:v>
      </x:c>
      <x:c r="J178" s="1">
        <x:f>ROUND(J162*5,2)</x:f>
        <x:v>2.5</x:v>
      </x:c>
      <x:c r="K178" s="1">
        <x:v>525</x:v>
      </x:c>
      <x:c r="L178" s="1" t="str">
        <x:f t="shared" si="53"/>
        <x:v>Splash</x:v>
      </x:c>
      <x:c r="M178" s="1" t="str">
        <x:f t="shared" si="50"/>
        <x:v>Enemy</x:v>
      </x:c>
      <x:c r="N178" s="1" t="s">
        <x:v>35</x:v>
      </x:c>
      <x:c r="O178" s="1" t="str">
        <x:f>O162</x:f>
        <x:v>Push</x:v>
      </x:c>
      <x:c r="P178" s="1">
        <x:v>10</x:v>
      </x:c>
      <x:c r="Q178" s="1">
        <x:f>Q162*3</x:f>
        <x:v>9</x:v>
      </x:c>
      <x:c r="R178" s="1">
        <x:f t="shared" si="1"/>
        <x:v>4109</x:v>
      </x:c>
    </x:row>
    <x:row r="179" spans="1:18">
      <x:c r="A179" s="1">
        <x:f t="shared" si="52"/>
        <x:v>5209</x:v>
      </x:c>
      <x:c r="B179" s="1" t="str">
        <x:f>B163</x:f>
        <x:v>(단일) 바람 타워</x:v>
      </x:c>
      <x:c r="C179" s="1">
        <x:v>1</x:v>
      </x:c>
      <x:c r="D179" s="1">
        <x:f>ROUND(D175*5,2)</x:f>
        <x:v>20.399999999999999</x:v>
      </x:c>
      <x:c r="E179" s="1">
        <x:f t="shared" ref="E179:E180" si="54">ROUND(E175*1.25,2)</x:f>
        <x:v>3.4399999999999999</x:v>
      </x:c>
      <x:c r="F179" s="1">
        <x:f>ROUND(F175*4,2)</x:f>
        <x:v>50.399999999999999</x:v>
      </x:c>
      <x:c r="G179" s="1" t="b">
        <x:v>0</x:v>
      </x:c>
      <x:c r="H179" s="1">
        <x:f>IF(H175*1.8&lt;=1,H175*1.8,1)</x:f>
        <x:v>0.48867840000000001</x:v>
      </x:c>
      <x:c r="I179" s="1">
        <x:f>ROUND(I175*2.8,2)</x:f>
        <x:v>6.5499999999999998</x:v>
      </x:c>
      <x:c r="J179" s="1">
        <x:f t="shared" si="51"/>
        <x:v>0</x:v>
      </x:c>
      <x:c r="K179" s="1">
        <x:v>0</x:v>
      </x:c>
      <x:c r="L179" s="1" t="str">
        <x:f t="shared" si="53"/>
        <x:v>Target</x:v>
      </x:c>
      <x:c r="M179" s="1" t="str">
        <x:f t="shared" si="50"/>
        <x:v>Enemy</x:v>
      </x:c>
      <x:c r="N179" s="1" t="s">
        <x:v>35</x:v>
      </x:c>
      <x:c r="O179" s="1" t="s">
        <x:v>35</x:v>
      </x:c>
      <x:c r="P179" s="1">
        <x:v>15</x:v>
      </x:c>
      <x:c r="Q179" s="1">
        <x:v>0</x:v>
      </x:c>
      <x:c r="R179" s="1">
        <x:f t="shared" si="1"/>
        <x:v>4209</x:v>
      </x:c>
    </x:row>
    <x:row r="180" spans="1:18">
      <x:c r="A180" s="1">
        <x:f t="shared" si="52"/>
        <x:v>5309</x:v>
      </x:c>
      <x:c r="B180" s="1" t="str">
        <x:f>B164</x:f>
        <x:v>(함정) 바람 타워</x:v>
      </x:c>
      <x:c r="C180" s="1">
        <x:v>1</x:v>
      </x:c>
      <x:c r="D180" s="1">
        <x:f>ROUND(D176*5,2)</x:f>
        <x:v>150</x:v>
      </x:c>
      <x:c r="E180" s="1">
        <x:f t="shared" si="54"/>
        <x:v>3.4399999999999999</x:v>
      </x:c>
      <x:c r="F180" s="1">
        <x:f>ROUND(F176*3,2)</x:f>
        <x:v>3.4500000000000002</x:v>
      </x:c>
      <x:c r="G180" s="1" t="b">
        <x:v>0</x:v>
      </x:c>
      <x:c r="H180" s="1">
        <x:v>0</x:v>
      </x:c>
      <x:c r="I180" s="1">
        <x:v>0</x:v>
      </x:c>
      <x:c r="J180" s="1">
        <x:f t="shared" si="51"/>
        <x:v>30</x:v>
      </x:c>
      <x:c r="K180" s="1">
        <x:v>0</x:v>
      </x:c>
      <x:c r="L180" s="1" t="str">
        <x:f t="shared" si="53"/>
        <x:v>Trap</x:v>
      </x:c>
      <x:c r="M180" s="1" t="str">
        <x:f t="shared" si="50"/>
        <x:v>Enemy</x:v>
      </x:c>
      <x:c r="N180" s="1" t="s">
        <x:v>35</x:v>
      </x:c>
      <x:c r="O180" s="1" t="s">
        <x:v>35</x:v>
      </x:c>
      <x:c r="P180" s="1">
        <x:v>1</x:v>
      </x:c>
      <x:c r="Q180" s="1">
        <x:f>Q164*3</x:f>
        <x:v>6</x:v>
      </x:c>
      <x:c r="R180" s="1">
        <x:f t="shared" si="1"/>
        <x:v>4309</x:v>
      </x:c>
    </x:row>
    <x:row r="181" spans="1:18">
      <x:c r="A181" s="1">
        <x:f t="shared" si="52"/>
        <x:v>5409</x:v>
      </x:c>
      <x:c r="B181" s="1" t="str">
        <x:f>B165</x:f>
        <x:v>(버프) 바람 타워</x:v>
      </x:c>
      <x:c r="C181" s="1">
        <x:v>1</x:v>
      </x:c>
      <x:c r="D181" s="1">
        <x:v>0</x:v>
      </x:c>
      <x:c r="E181" s="1">
        <x:f>E177+3</x:f>
        <x:v>7</x:v>
      </x:c>
      <x:c r="F181" s="1">
        <x:v>1</x:v>
      </x:c>
      <x:c r="G181" s="1" t="b">
        <x:v>0</x:v>
      </x:c>
      <x:c r="H181" s="1">
        <x:v>0</x:v>
      </x:c>
      <x:c r="I181" s="1">
        <x:v>0</x:v>
      </x:c>
      <x:c r="J181" s="1">
        <x:f t="shared" si="51"/>
        <x:v>1</x:v>
      </x:c>
      <x:c r="K181" s="1">
        <x:f>IF(L181="Buff",5,525)</x:f>
        <x:v>5</x:v>
      </x:c>
      <x:c r="L181" s="1" t="str">
        <x:f t="shared" si="53"/>
        <x:v>Buff</x:v>
      </x:c>
      <x:c r="M181" s="1" t="str">
        <x:f t="shared" si="50"/>
        <x:v>Tower</x:v>
      </x:c>
      <x:c r="N181" s="1" t="str">
        <x:f>N177</x:f>
        <x:v>AttackSpeed</x:v>
      </x:c>
      <x:c r="O181" s="1" t="str">
        <x:f>O177</x:f>
        <x:v>None</x:v>
      </x:c>
      <x:c r="P181" s="1">
        <x:v>1</x:v>
      </x:c>
      <x:c r="Q181" s="1">
        <x:v>0</x:v>
      </x:c>
      <x:c r="R181" s="1">
        <x:f t="shared" si="1"/>
        <x:v>4409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TowerDataCSV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</cp:revision>
  <dcterms:created xsi:type="dcterms:W3CDTF">2026-06-29T02:28:34.000</dcterms:created>
  <dcterms:modified xsi:type="dcterms:W3CDTF">2026-07-26T15:08:17.896</dcterms:modified>
  <cp:version>1200.0100.01</cp:version>
</cp:coreProperties>
</file>