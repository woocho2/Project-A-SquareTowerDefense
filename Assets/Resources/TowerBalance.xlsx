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1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프로그래밍\Project-A-SquareTowerDefense-\Assets\Resources\"/>
    </mc:Choice>
  </mc:AlternateContent>
  <x:bookViews>
    <x:workbookView minimized="1" xWindow="0" yWindow="0" windowWidth="28545" windowHeight="1134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<x:sst xmlns:r="http://schemas.openxmlformats.org/officeDocument/2006/relationships" xmlns:c="http://schemas.openxmlformats.org/drawingml/2006/chart" xmlns:x="http://schemas.openxmlformats.org/spreadsheetml/2006/main" count="196" uniqueCount="52">
  <x:si>
    <x:t>(버프) 검 타워</x:t>
  </x:si>
  <x:si>
    <x:t>(함정) 검 타워</x:t>
  </x:si>
  <x:si>
    <x:t>Average Cr</x:t>
  </x:si>
  <x:si>
    <x:t>(광역) 바람 타워</x:t>
  </x:si>
  <x:si>
    <x:t>(함정) 불 타워</x:t>
  </x:si>
  <x:si>
    <x:t>(버프) 바람 타워</x:t>
  </x:si>
  <x:si>
    <x:t>(버프) 전기 타워</x:t>
  </x:si>
  <x:si>
    <x:t>(광역) 얼음 타워</x:t>
  </x:si>
  <x:si>
    <x:t>(단일) 전기 타워</x:t>
  </x:si>
  <x:si>
    <x:t>(광역) 전기 타워</x:t>
  </x:si>
  <x:si>
    <x:t>towerLevel</x:t>
  </x:si>
  <x:si>
    <x:t>(함정) 얼음 타워</x:t>
  </x:si>
  <x:si>
    <x:t>(함정) 바람 타워</x:t>
  </x:si>
  <x:si>
    <x:t>Average D</x:t>
  </x:si>
  <x:si>
    <x:t>(버프) 불 타워</x:t>
  </x:si>
  <x:si>
    <x:t>duration</x:t>
  </x:si>
  <x:si>
    <x:t>BaseDamage</x:t>
  </x:si>
  <x:si>
    <x:t>(함정) 도끼 타워</x:t>
  </x:si>
  <x:si>
    <x:t>(버프) 얼음 타워</x:t>
  </x:si>
  <x:si>
    <x:t>attackRange</x:t>
  </x:si>
  <x:si>
    <x:t>(단일) 바람 타워</x:t>
  </x:si>
  <x:si>
    <x:t>attackSpeed</x:t>
  </x:si>
  <x:si>
    <x:t>Speed</x:t>
  </x:si>
  <x:si>
    <x:t>Name</x:t>
  </x:si>
  <x:si>
    <x:t>(함정) 활 타워</x:t>
  </x:si>
  <x:si>
    <x:t>(광역) 방패 타워</x:t>
  </x:si>
  <x:si>
    <x:t>(광역) 창 타워</x:t>
  </x:si>
  <x:si>
    <x:t>(단일) 도끼 타워</x:t>
  </x:si>
  <x:si>
    <x:t>(함정) 창 타워</x:t>
  </x:si>
  <x:si>
    <x:t>(단일) 검 타워</x:t>
  </x:si>
  <x:si>
    <x:t>(광역) 도끼 타워</x:t>
  </x:si>
  <x:si>
    <x:t>(광역) 활 타워</x:t>
  </x:si>
  <x:si>
    <x:t>(광역) 검 타워</x:t>
  </x:si>
  <x:si>
    <x:t>(함정) 전기 타워</x:t>
  </x:si>
  <x:si>
    <x:t>(단일) 활 타워</x:t>
  </x:si>
  <x:si>
    <x:t>ID</x:t>
  </x:si>
  <x:si>
    <x:t>(버프) 방패 타워</x:t>
  </x:si>
  <x:si>
    <x:t>(광역) 불 타워</x:t>
  </x:si>
  <x:si>
    <x:t>(단일) 창 타워</x:t>
  </x:si>
  <x:si>
    <x:t>(단일) 얼음 타워</x:t>
  </x:si>
  <x:si>
    <x:t>(버프) 활 타워</x:t>
  </x:si>
  <x:si>
    <x:t>(함정) 방패 타워</x:t>
  </x:si>
  <x:si>
    <x:t>(버프) 창 타워</x:t>
  </x:si>
  <x:si>
    <x:t>(버프) 도끼 타워</x:t>
  </x:si>
  <x:si>
    <x:t>(단일) 불 타워</x:t>
  </x:si>
  <x:si>
    <x:t>(단일) 방패 타워</x:t>
  </x:si>
  <x:si>
    <x:t>attackDamage</x:t>
  </x:si>
  <x:si>
    <x:t>SplashRadius</x:t>
  </x:si>
  <x:si>
    <x:t>criticalRate</x:t>
  </x:si>
  <x:si>
    <x:t>CriticalDamage</x:t>
  </x:si>
  <x:si>
    <x:t>criticalDamage</x:t>
  </x:si>
  <x:si>
    <x:t>abilityValue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</x:si>
</x:sst>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8"/>
      <x:color rgb="ff000000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  <x:bgColor indexed="64"/>
      </x:patternFill>
    </x:fill>
    <x:fill>
      <x:patternFill patternType="solid">
        <x:fgColor rgb="ff8fabdb"/>
        <x:bgColor indexed="64"/>
      </x:patternFill>
    </x:fill>
    <x:fill>
      <x:patternFill patternType="solid">
        <x:fgColor rgb="ff92d050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center"/>
        </x:xf>
      </mc:Fallback>
    </mc:AlternateContent>
    <x:xf numFmtId="0" fontId="0" fillId="0" borderId="0" xfId="0" applyNumberFormat="1" applyFont="1" applyFill="1" applyBorder="1" applyAlignment="1" applyProtection="1">
      <x:alignment horizontal="general" vertical="center"/>
    </x:xf>
    <x:xf numFmtId="0" fontId="6" fillId="0" borderId="0" xfId="0" applyFont="1">
      <x:alignment horizontal="general" vertical="center"/>
    </x:xf>
    <x:xf numFmtId="0" fontId="6" fillId="2" borderId="1" xfId="0" applyFont="1" applyFill="1" applyBorder="1">
      <x:alignment horizontal="general" vertical="center"/>
    </x:xf>
    <x:xf numFmtId="0" fontId="6" fillId="3" borderId="1" xfId="0" applyFont="1" applyFill="1" applyBorder="1">
      <x:alignment horizontal="general" vertical="center"/>
    </x:xf>
    <x:xf numFmtId="0" fontId="6" fillId="4" borderId="1" xfId="0" applyFont="1" applyFill="1" applyBorder="1">
      <x:alignment horizontal="general" vertical="center"/>
    </x:xf>
    <x:xf numFmtId="0" fontId="6" fillId="0" borderId="1" xfId="0" applyFont="1" applyBorder="1">
      <x:alignment horizontal="general" vertical="center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V181"/>
  <x:sheetViews>
    <x:sheetView tabSelected="1" topLeftCell="A1" zoomScaleNormal="75" zoomScaleSheetLayoutView="100" workbookViewId="0">
      <x:selection activeCell="O9" activeCellId="0" sqref="O8:O9"/>
    </x:sheetView>
  </x:sheetViews>
  <x:sheetFormatPr defaultColWidth="9.00390625" defaultRowHeight="16.39999999999999857891"/>
  <x:cols>
    <x:col min="1" max="1" width="4.5" style="1" bestFit="1" customWidth="1"/>
    <x:col min="2" max="2" width="9.75" style="1" bestFit="1" customWidth="1"/>
    <x:col min="3" max="3" width="8.25" style="1" bestFit="1" customWidth="1"/>
    <x:col min="4" max="4" width="10.875" style="1" bestFit="1" customWidth="1"/>
    <x:col min="5" max="6" width="9.375" style="1" bestFit="1" customWidth="1"/>
    <x:col min="7" max="7" width="8.5" style="1" bestFit="1" customWidth="1"/>
    <x:col min="8" max="8" width="11.125" style="1" bestFit="1" customWidth="1"/>
    <x:col min="9" max="9" width="6.875" style="1" bestFit="1" customWidth="1"/>
    <x:col min="10" max="10" width="8.875" style="1" bestFit="1" customWidth="1"/>
    <x:col min="11" max="11" width="5.5" style="1" bestFit="1" customWidth="1"/>
    <x:col min="12" max="12" width="9.875" style="1" bestFit="1" customWidth="1"/>
    <x:col min="13" max="14" width="9.00390625" style="2"/>
    <x:col min="15" max="22" width="9" style="3"/>
    <x:col min="29" max="16378" width="9" style="3"/>
    <x:col min="16379" max="16384" width="9.00390625" style="3"/>
  </x:cols>
  <x:sheetData>
    <x:row r="1" spans="1:19" ht="24.94999999999999928946" customHeight="1">
      <x:c r="A1" s="1" t="s">
        <x:v>35</x:v>
      </x:c>
      <x:c r="B1" s="1" t="s">
        <x:v>23</x:v>
      </x:c>
      <x:c r="C1" s="1" t="s">
        <x:v>10</x:v>
      </x:c>
      <x:c r="D1" s="1" t="s">
        <x:v>46</x:v>
      </x:c>
      <x:c r="E1" s="1" t="s">
        <x:v>19</x:v>
      </x:c>
      <x:c r="F1" s="1" t="s">
        <x:v>21</x:v>
      </x:c>
      <x:c r="G1" s="1" t="s">
        <x:v>48</x:v>
      </x:c>
      <x:c r="H1" s="1" t="s">
        <x:v>50</x:v>
      </x:c>
      <x:c r="I1" s="1" t="s">
        <x:v>15</x:v>
      </x:c>
      <x:c r="J1" s="1" t="s">
        <x:v>51</x:v>
      </x:c>
      <x:c r="K1" s="1" t="s">
        <x:v>22</x:v>
      </x:c>
      <x:c r="L1" s="1" t="s">
        <x:v>47</x:v>
      </x:c>
      <x:c r="O1" s="3" t="s">
        <x:v>16</x:v>
      </x:c>
      <x:c r="P1" s="3" t="s">
        <x:v>49</x:v>
      </x:c>
      <x:c r="R1" s="1" t="s">
        <x:v>13</x:v>
      </x:c>
      <x:c r="S1" s="1" t="s">
        <x:v>2</x:v>
      </x:c>
    </x:row>
    <x:row r="2" spans="1:22">
      <x:c r="A2" s="1">
        <x:v>1101</x:v>
      </x:c>
      <x:c r="B2" s="1" t="s">
        <x:v>32</x:v>
      </x:c>
      <x:c r="C2" s="1">
        <x:v>1</x:v>
      </x:c>
      <x:c r="D2" s="1">
        <x:v>2.5</x:v>
      </x:c>
      <x:c r="E2" s="1">
        <x:v>2.1000000000000001</x:v>
      </x:c>
      <x:c r="F2" s="1">
        <x:v>0.23000000000000001</x:v>
      </x:c>
      <x:c r="G2" s="1">
        <x:v>0.040000000000000002</x:v>
      </x:c>
      <x:c r="H2" s="1">
        <x:v>0.080000000000000004</x:v>
      </x:c>
      <x:c r="I2" s="1">
        <x:v>0.5</x:v>
      </x:c>
      <x:c r="J2" s="1">
        <x:v>8.6957000000000004</x:v>
      </x:c>
      <x:c r="K2" s="1">
        <x:v>10</x:v>
      </x:c>
      <x:c r="L2" s="1">
        <x:v>2</x:v>
      </x:c>
      <x:c r="O2" s="3">
        <x:f>ROUND(60*(D2*F2),2)</x:f>
        <x:v>34.5</x:v>
      </x:c>
      <x:c r="P2" s="3">
        <x:f>ROUND(((O2*G2*(2+H2))+O2*(1-G2)),2)</x:f>
        <x:v>35.990000000000002</x:v>
      </x:c>
      <x:c r="R2" s="3">
        <x:f>ROUND(AVERAGE(O2,O22,O42,O62,O82,O102,O142,O162),2)</x:f>
        <x:v>25.539999999999999</x:v>
      </x:c>
      <x:c r="S2" s="3">
        <x:f>ROUND(AVERAGE(P2,P22,P42,P62,P82,P102,P142,P162),2)</x:f>
        <x:v>27.010000000000002</x:v>
      </x:c>
      <x:c r="U2" s="4">
        <x:f>O2-$R$2</x:f>
        <x:v>8.9600000000000009</x:v>
      </x:c>
      <x:c r="V2" s="4">
        <x:f>P2-$S$2</x:f>
        <x:v>8.9800000000000004</x:v>
      </x:c>
    </x:row>
    <x:row r="3" spans="1:22">
      <x:c r="A3" s="1">
        <x:f>A2+100</x:f>
        <x:v>1201</x:v>
      </x:c>
      <x:c r="B3" s="1" t="s">
        <x:v>29</x:v>
      </x:c>
      <x:c r="C3" s="1">
        <x:v>1</x:v>
      </x:c>
      <x:c r="D3" s="1">
        <x:v>1.8700000000000001</x:v>
      </x:c>
      <x:c r="E3" s="1">
        <x:v>2.1000000000000001</x:v>
      </x:c>
      <x:c r="F3" s="1">
        <x:v>0.375</x:v>
      </x:c>
      <x:c r="G3" s="1">
        <x:v>0.075</x:v>
      </x:c>
      <x:c r="H3" s="1">
        <x:v>0.040000000000000002</x:v>
      </x:c>
      <x:c r="I3" s="1">
        <x:v>0</x:v>
      </x:c>
      <x:c r="J3" s="1">
        <x:v>0</x:v>
      </x:c>
      <x:c r="K3" s="1">
        <x:v>15</x:v>
      </x:c>
      <x:c r="L3" s="1">
        <x:v>0</x:v>
      </x:c>
      <x:c r="O3" s="3">
        <x:f t="shared" ref="O3:O21" si="0">ROUND(60*(D3*F3),2)</x:f>
        <x:v>42.079999999999998</x:v>
      </x:c>
      <x:c r="P3" s="3">
        <x:f t="shared" ref="P3:P21" si="1">ROUND((O3*G3*(2+H3))+O3*(1-G3),2)</x:f>
        <x:v>45.359999999999999</x:v>
      </x:c>
      <x:c r="R3" s="3">
        <x:f t="shared" ref="R3:S21" si="2">ROUND(AVERAGE(O3,O23,O43,O63,O83,O103,O143,O163),2)</x:f>
        <x:v>33.960000000000001</x:v>
      </x:c>
      <x:c r="S3" s="3">
        <x:f t="shared" si="2"/>
        <x:v>36.509999999999998</x:v>
      </x:c>
      <x:c r="U3" s="5">
        <x:f>O3-$R$3</x:f>
        <x:v>8.1199999999999974</x:v>
      </x:c>
      <x:c r="V3" s="5">
        <x:f>P3-$S$3</x:f>
        <x:v>8.8500000000000014</x:v>
      </x:c>
    </x:row>
    <x:row r="4" spans="1:22">
      <x:c r="A4" s="1">
        <x:f>A2+200</x:f>
        <x:v>1301</x:v>
      </x:c>
      <x:c r="B4" s="1" t="s">
        <x:v>1</x:v>
      </x:c>
      <x:c r="C4" s="1">
        <x:v>1</x:v>
      </x:c>
      <x:c r="D4" s="1">
        <x:v>15</x:v>
      </x:c>
      <x:c r="E4" s="1">
        <x:v>2.1000000000000001</x:v>
      </x:c>
      <x:c r="F4" s="1">
        <x:v>0.010000000000000001</x:v>
      </x:c>
      <x:c r="G4" s="1">
        <x:v>0</x:v>
      </x:c>
      <x:c r="H4" s="1">
        <x:v>0</x:v>
      </x:c>
      <x:c r="I4" s="1">
        <x:v>30</x:v>
      </x:c>
      <x:c r="J4" s="1">
        <x:v>0</x:v>
      </x:c>
      <x:c r="K4" s="1">
        <x:v>1</x:v>
      </x:c>
      <x:c r="L4" s="1">
        <x:v>1.5</x:v>
      </x:c>
      <x:c r="O4" s="3">
        <x:f t="shared" si="0"/>
        <x:v>9</x:v>
      </x:c>
      <x:c r="P4" s="3">
        <x:f t="shared" si="1"/>
        <x:v>9</x:v>
      </x:c>
      <x:c r="R4" s="3">
        <x:f t="shared" si="2"/>
        <x:v>9.0800000000000001</x:v>
      </x:c>
      <x:c r="S4" s="3">
        <x:f t="shared" si="2"/>
        <x:v>9.0800000000000001</x:v>
      </x:c>
      <x:c r="U4" s="6">
        <x:f>O4-$R$4</x:f>
        <x:v>-0.080000000000000071</x:v>
      </x:c>
      <x:c r="V4" s="6">
        <x:f>P4-$S$4</x:f>
        <x:v>-0.080000000000000071</x:v>
      </x:c>
    </x:row>
    <x:row r="5" spans="1:22">
      <x:c r="A5" s="1">
        <x:f>A2+300</x:f>
        <x:v>1401</x:v>
      </x:c>
      <x:c r="B5" s="1" t="s">
        <x:v>0</x:v>
      </x:c>
      <x:c r="C5" s="1">
        <x:v>1</x:v>
      </x:c>
      <x:c r="D5" s="1">
        <x:v>0</x:v>
      </x:c>
      <x:c r="E5" s="1">
        <x:v>1</x:v>
      </x:c>
      <x:c r="F5" s="1">
        <x:v>1</x:v>
      </x:c>
      <x:c r="G5" s="1">
        <x:v>0</x:v>
      </x:c>
      <x:c r="H5" s="1">
        <x:v>0</x:v>
      </x:c>
      <x:c r="I5" s="1">
        <x:v>1</x:v>
      </x:c>
      <x:c r="J5" s="1" t="e">
        <x:f>IF(#REF!="Buff",1.2,8.6957)</x:f>
        <x:v>#REF!</x:v>
      </x:c>
      <x:c r="K5" s="1">
        <x:v>1</x:v>
      </x:c>
      <x:c r="L5" s="1">
        <x:v>0</x:v>
      </x:c>
      <x:c r="O5" s="3">
        <x:f t="shared" si="0"/>
        <x:v>0</x:v>
      </x:c>
      <x:c r="P5" s="3">
        <x:f t="shared" si="1"/>
        <x:v>0</x:v>
      </x:c>
      <x:c r="R5" s="3">
        <x:f t="shared" si="2"/>
        <x:v>7.5</x:v>
      </x:c>
      <x:c r="S5" s="3">
        <x:f t="shared" si="2"/>
        <x:v>7.5</x:v>
      </x:c>
      <x:c r="U5" s="7">
        <x:f>O5-$R$5</x:f>
        <x:v>-7.5</x:v>
      </x:c>
      <x:c r="V5" s="7">
        <x:f>P5-$S$5</x:f>
        <x:v>-7.5</x:v>
      </x:c>
    </x:row>
    <x:row r="6" spans="1:22">
      <x:c r="A6" s="1">
        <x:f>A2+1000</x:f>
        <x:v>2101</x:v>
      </x:c>
      <x:c r="B6" s="1" t="str">
        <x:f>B2</x:f>
        <x:v>(광역) 검 타워</x:v>
      </x:c>
      <x:c r="C6" s="1">
        <x:v>1</x:v>
      </x:c>
      <x:c r="D6" s="1">
        <x:f>ROUND(D2*1.8,2)</x:f>
        <x:v>4.5</x:v>
      </x:c>
      <x:c r="E6" s="1">
        <x:f>ROUND(E2,2)</x:f>
        <x:v>2.1000000000000001</x:v>
      </x:c>
      <x:c r="F6" s="1">
        <x:f>ROUND(F2*2.1,2)</x:f>
        <x:v>0.47999999999999998</x:v>
      </x:c>
      <x:c r="G6" s="1">
        <x:f>IF(G2*1.2&lt;=1,G2*1.2,1)</x:f>
        <x:v>0.047999999999999998</x:v>
      </x:c>
      <x:c r="H6" s="1">
        <x:f>ROUND(H2*1.2,2)</x:f>
        <x:v>0.10000000000000001</x:v>
      </x:c>
      <x:c r="I6" s="1">
        <x:f>ROUND(I2*1.5,2)</x:f>
        <x:v>0.75</x:v>
      </x:c>
      <x:c r="J6" s="1">
        <x:v>25</x:v>
      </x:c>
      <x:c r="K6" s="1">
        <x:v>10</x:v>
      </x:c>
      <x:c r="L6" s="1">
        <x:f>L2</x:f>
        <x:v>2</x:v>
      </x:c>
      <x:c r="O6" s="3">
        <x:f t="shared" si="0"/>
        <x:v>129.59999999999999</x:v>
      </x:c>
      <x:c r="P6" s="3">
        <x:f t="shared" si="1"/>
        <x:v>136.44</x:v>
      </x:c>
      <x:c r="R6" s="3">
        <x:f t="shared" si="2"/>
        <x:v>96.689999999999998</x:v>
      </x:c>
      <x:c r="S6" s="3">
        <x:f t="shared" si="2"/>
        <x:v>103.51000000000001</x:v>
      </x:c>
      <x:c r="U6" s="4">
        <x:f>O6-$R$6</x:f>
        <x:v>32.909999999999997</x:v>
      </x:c>
      <x:c r="V6" s="4">
        <x:f>P6-$S$6</x:f>
        <x:v>32.929999999999993</x:v>
      </x:c>
    </x:row>
    <x:row r="7" spans="1:22">
      <x:c r="A7" s="1">
        <x:f>A3+1000</x:f>
        <x:v>2201</x:v>
      </x:c>
      <x:c r="B7" s="1" t="str">
        <x:f>B3</x:f>
        <x:v>(단일) 검 타워</x:v>
      </x:c>
      <x:c r="C7" s="1">
        <x:v>1</x:v>
      </x:c>
      <x:c r="D7" s="1">
        <x:f>ROUND(D3*1.7,2)</x:f>
        <x:v>3.1800000000000002</x:v>
      </x:c>
      <x:c r="E7" s="1">
        <x:f>ROUND(E3,2)</x:f>
        <x:v>2.1000000000000001</x:v>
      </x:c>
      <x:c r="F7" s="1">
        <x:f>ROUND(F3*2.2,2)</x:f>
        <x:v>0.82999999999999996</x:v>
      </x:c>
      <x:c r="G7" s="1">
        <x:f>IF(G3*1.2&lt;=1,G3*1.2,1)</x:f>
        <x:v>0.089999999999999991</x:v>
      </x:c>
      <x:c r="H7" s="1">
        <x:f>ROUND(H3*1.2,2)</x:f>
        <x:v>0.05</x:v>
      </x:c>
      <x:c r="I7" s="1">
        <x:f t="shared" ref="I7:I21" si="3">I3</x:f>
        <x:v>0</x:v>
      </x:c>
      <x:c r="J7" s="1">
        <x:v>0</x:v>
      </x:c>
      <x:c r="K7" s="1">
        <x:v>15</x:v>
      </x:c>
      <x:c r="L7" s="1">
        <x:v>0</x:v>
      </x:c>
      <x:c r="O7" s="3">
        <x:f t="shared" si="0"/>
        <x:v>158.36000000000001</x:v>
      </x:c>
      <x:c r="P7" s="3">
        <x:f t="shared" si="1"/>
        <x:v>173.33000000000001</x:v>
      </x:c>
      <x:c r="R7" s="3">
        <x:f t="shared" si="2"/>
        <x:v>127.56999999999999</x:v>
      </x:c>
      <x:c r="S7" s="3">
        <x:f t="shared" si="2"/>
        <x:v>139.41</x:v>
      </x:c>
      <x:c r="U7" s="5">
        <x:f>O7-$R$7</x:f>
        <x:v>30.79000000000002</x:v>
      </x:c>
      <x:c r="V7" s="5">
        <x:f>P7-$S$7</x:f>
        <x:v>33.920000000000016</x:v>
      </x:c>
    </x:row>
    <x:row r="8" spans="1:22">
      <x:c r="A8" s="1">
        <x:f t="shared" ref="A8:A21" si="4">A4+1000</x:f>
        <x:v>2301</x:v>
      </x:c>
      <x:c r="B8" s="1" t="str">
        <x:f>B4</x:f>
        <x:v>(함정) 검 타워</x:v>
      </x:c>
      <x:c r="C8" s="1">
        <x:v>1</x:v>
      </x:c>
      <x:c r="D8" s="1">
        <x:f>ROUND(D4*2,2)</x:f>
        <x:v>30</x:v>
      </x:c>
      <x:c r="E8" s="1">
        <x:f>ROUND(E4,2)</x:f>
        <x:v>2.1000000000000001</x:v>
      </x:c>
      <x:c r="F8" s="1">
        <x:f>ROUND(F4*2.1,2)</x:f>
        <x:v>0.020000000000000001</x:v>
      </x:c>
      <x:c r="G8" s="1">
        <x:v>0</x:v>
      </x:c>
      <x:c r="H8" s="1">
        <x:v>0</x:v>
      </x:c>
      <x:c r="I8" s="1">
        <x:f t="shared" si="3"/>
        <x:v>30</x:v>
      </x:c>
      <x:c r="J8" s="1">
        <x:v>0</x:v>
      </x:c>
      <x:c r="K8" s="1">
        <x:v>1</x:v>
      </x:c>
      <x:c r="L8" s="1">
        <x:f>L4</x:f>
        <x:v>1.5</x:v>
      </x:c>
      <x:c r="O8" s="3">
        <x:f t="shared" si="0"/>
        <x:v>36</x:v>
      </x:c>
      <x:c r="P8" s="3">
        <x:f t="shared" si="1"/>
        <x:v>36</x:v>
      </x:c>
      <x:c r="R8" s="3">
        <x:f t="shared" si="2"/>
        <x:v>38.280000000000001</x:v>
      </x:c>
      <x:c r="S8" s="3">
        <x:f t="shared" si="2"/>
        <x:v>38.280000000000001</x:v>
      </x:c>
      <x:c r="U8" s="6">
        <x:f>O8-$R$8</x:f>
        <x:v>-2.2800000000000011</x:v>
      </x:c>
      <x:c r="V8" s="6">
        <x:f>P8-$S$8</x:f>
        <x:v>-2.2800000000000011</x:v>
      </x:c>
    </x:row>
    <x:row r="9" spans="1:22">
      <x:c r="A9" s="1">
        <x:f t="shared" si="4"/>
        <x:v>2401</x:v>
      </x:c>
      <x:c r="B9" s="1" t="str">
        <x:f>B5</x:f>
        <x:v>(버프) 검 타워</x:v>
      </x:c>
      <x:c r="C9" s="1">
        <x:v>1</x:v>
      </x:c>
      <x:c r="D9" s="1">
        <x:v>0</x:v>
      </x:c>
      <x:c r="E9" s="1">
        <x:f>E5+0</x:f>
        <x:v>1</x:v>
      </x:c>
      <x:c r="F9" s="1">
        <x:v>1</x:v>
      </x:c>
      <x:c r="G9" s="1">
        <x:v>0</x:v>
      </x:c>
      <x:c r="H9" s="1">
        <x:v>0</x:v>
      </x:c>
      <x:c r="I9" s="1">
        <x:f t="shared" si="3"/>
        <x:v>1</x:v>
      </x:c>
      <x:c r="J9" s="1" t="e">
        <x:f>IF(#REF!="Buff",1.4,25)</x:f>
        <x:v>#REF!</x:v>
      </x:c>
      <x:c r="K9" s="1">
        <x:v>1</x:v>
      </x:c>
      <x:c r="L9" s="1">
        <x:v>0</x:v>
      </x:c>
      <x:c r="O9" s="3">
        <x:f t="shared" si="0"/>
        <x:v>0</x:v>
      </x:c>
      <x:c r="P9" s="3">
        <x:f t="shared" si="1"/>
        <x:v>0</x:v>
      </x:c>
      <x:c r="R9" s="3">
        <x:f t="shared" si="2"/>
        <x:v>15</x:v>
      </x:c>
      <x:c r="S9" s="3">
        <x:f t="shared" si="2"/>
        <x:v>15</x:v>
      </x:c>
      <x:c r="U9" s="7">
        <x:f>O9-$R$9</x:f>
        <x:v>-15</x:v>
      </x:c>
      <x:c r="V9" s="7">
        <x:f>P9-$S$9</x:f>
        <x:v>-15</x:v>
      </x:c>
    </x:row>
    <x:row r="10" spans="1:22">
      <x:c r="A10" s="1">
        <x:f t="shared" si="4"/>
        <x:v>3101</x:v>
      </x:c>
      <x:c r="B10" s="1" t="str">
        <x:f>B2</x:f>
        <x:v>(광역) 검 타워</x:v>
      </x:c>
      <x:c r="C10" s="1">
        <x:v>1</x:v>
      </x:c>
      <x:c r="D10" s="1">
        <x:f>ROUND(D6*2.25,2)</x:f>
        <x:v>10.130000000000001</x:v>
      </x:c>
      <x:c r="E10" s="1">
        <x:f>ROUND(E6,2)</x:f>
        <x:v>2.1000000000000001</x:v>
      </x:c>
      <x:c r="F10" s="1">
        <x:f>ROUND(F6*2.2,2)</x:f>
        <x:v>1.0600000000000001</x:v>
      </x:c>
      <x:c r="G10" s="1">
        <x:f>IF(G6*1.4&lt;=1,G6*1.4,1)</x:f>
        <x:v>0.067199999999999993</x:v>
      </x:c>
      <x:c r="H10" s="1">
        <x:f>ROUND(H6*1.5,2)</x:f>
        <x:v>0.14999999999999999</x:v>
      </x:c>
      <x:c r="I10" s="1">
        <x:f>ROUND(I2*2,2)</x:f>
        <x:v>1</x:v>
      </x:c>
      <x:c r="J10" s="1">
        <x:v>60</x:v>
      </x:c>
      <x:c r="K10" s="1">
        <x:v>10</x:v>
      </x:c>
      <x:c r="L10" s="1">
        <x:f>L2*1.5</x:f>
        <x:v>3</x:v>
      </x:c>
      <x:c r="O10" s="3">
        <x:f t="shared" si="0"/>
        <x:v>644.26999999999998</x:v>
      </x:c>
      <x:c r="P10" s="3">
        <x:f t="shared" si="1"/>
        <x:v>694.05999999999995</x:v>
      </x:c>
      <x:c r="R10" s="3">
        <x:f t="shared" si="2"/>
        <x:v>479.72000000000003</x:v>
      </x:c>
      <x:c r="S10" s="3">
        <x:f t="shared" si="2"/>
        <x:v>530</x:v>
      </x:c>
      <x:c r="U10" s="4">
        <x:f>O10-$R$10</x:f>
        <x:v>164.54999999999995</x:v>
      </x:c>
      <x:c r="V10" s="4">
        <x:f>P10-$S$10</x:f>
        <x:v>164.05999999999995</x:v>
      </x:c>
    </x:row>
    <x:row r="11" spans="1:22">
      <x:c r="A11" s="1">
        <x:f t="shared" si="4"/>
        <x:v>3201</x:v>
      </x:c>
      <x:c r="B11" s="1" t="str">
        <x:f>B3</x:f>
        <x:v>(단일) 검 타워</x:v>
      </x:c>
      <x:c r="C11" s="1">
        <x:v>1</x:v>
      </x:c>
      <x:c r="D11" s="1">
        <x:f>ROUND(D7*2,2)</x:f>
        <x:v>6.3600000000000003</x:v>
      </x:c>
      <x:c r="E11" s="1">
        <x:f>ROUND(E7,2)</x:f>
        <x:v>2.1000000000000001</x:v>
      </x:c>
      <x:c r="F11" s="1">
        <x:f>ROUND(F7*2.4,2)</x:f>
        <x:v>1.99</x:v>
      </x:c>
      <x:c r="G11" s="1">
        <x:f>IF(G7*1.4&lt;=1,G7*1.4,1)</x:f>
        <x:v>0.126</x:v>
      </x:c>
      <x:c r="H11" s="1">
        <x:f>ROUND(H7*1.5,2)</x:f>
        <x:v>0.080000000000000004</x:v>
      </x:c>
      <x:c r="I11" s="1">
        <x:f t="shared" si="3"/>
        <x:v>0</x:v>
      </x:c>
      <x:c r="J11" s="1">
        <x:v>0</x:v>
      </x:c>
      <x:c r="K11" s="1">
        <x:v>15</x:v>
      </x:c>
      <x:c r="L11" s="1">
        <x:v>0</x:v>
      </x:c>
      <x:c r="O11" s="3">
        <x:f t="shared" si="0"/>
        <x:v>759.38</x:v>
      </x:c>
      <x:c r="P11" s="3">
        <x:f t="shared" si="1"/>
        <x:v>862.72000000000003</x:v>
      </x:c>
      <x:c r="R11" s="3">
        <x:f t="shared" si="2"/>
        <x:v>612.57000000000005</x:v>
      </x:c>
      <x:c r="S11" s="3">
        <x:f t="shared" si="2"/>
        <x:v>699.50999999999999</x:v>
      </x:c>
      <x:c r="U11" s="5">
        <x:f>O11-$R$11</x:f>
        <x:v>146.80999999999995</x:v>
      </x:c>
      <x:c r="V11" s="5">
        <x:f>P11-$S$11</x:f>
        <x:v>163.21000000000004</x:v>
      </x:c>
    </x:row>
    <x:row r="12" spans="1:22">
      <x:c r="A12" s="1">
        <x:f t="shared" si="4"/>
        <x:v>3301</x:v>
      </x:c>
      <x:c r="B12" s="1" t="str">
        <x:f>B4</x:f>
        <x:v>(함정) 검 타워</x:v>
      </x:c>
      <x:c r="C12" s="1">
        <x:v>1</x:v>
      </x:c>
      <x:c r="D12" s="1">
        <x:f>ROUND(D8*2.5,2)</x:f>
        <x:v>75</x:v>
      </x:c>
      <x:c r="E12" s="1">
        <x:f>ROUND(E8,2)</x:f>
        <x:v>2.1000000000000001</x:v>
      </x:c>
      <x:c r="F12" s="1">
        <x:f>ROUND(F8*2.2,2)</x:f>
        <x:v>0.040000000000000002</x:v>
      </x:c>
      <x:c r="G12" s="1">
        <x:v>0</x:v>
      </x:c>
      <x:c r="H12" s="1">
        <x:v>0</x:v>
      </x:c>
      <x:c r="I12" s="1">
        <x:f t="shared" si="3"/>
        <x:v>30</x:v>
      </x:c>
      <x:c r="J12" s="1">
        <x:v>0</x:v>
      </x:c>
      <x:c r="K12" s="1">
        <x:v>1</x:v>
      </x:c>
      <x:c r="L12" s="1">
        <x:f>L4*1.5</x:f>
        <x:v>2.25</x:v>
      </x:c>
      <x:c r="O12" s="3">
        <x:f t="shared" si="0"/>
        <x:v>180</x:v>
      </x:c>
      <x:c r="P12" s="3">
        <x:f t="shared" si="1"/>
        <x:v>180</x:v>
      </x:c>
      <x:c r="R12" s="3">
        <x:f t="shared" si="2"/>
        <x:v>208.80000000000001</x:v>
      </x:c>
      <x:c r="S12" s="3">
        <x:f t="shared" si="2"/>
        <x:v>208.80000000000001</x:v>
      </x:c>
      <x:c r="U12" s="6">
        <x:f>O12-$R$12</x:f>
        <x:v>-28.800000000000011</x:v>
      </x:c>
      <x:c r="V12" s="6">
        <x:f>P12-$S$12</x:f>
        <x:v>-28.800000000000011</x:v>
      </x:c>
    </x:row>
    <x:row r="13" spans="1:22">
      <x:c r="A13" s="1">
        <x:f t="shared" si="4"/>
        <x:v>3401</x:v>
      </x:c>
      <x:c r="B13" s="1" t="str">
        <x:f>B5</x:f>
        <x:v>(버프) 검 타워</x:v>
      </x:c>
      <x:c r="C13" s="1">
        <x:v>1</x:v>
      </x:c>
      <x:c r="D13" s="1">
        <x:v>0</x:v>
      </x:c>
      <x:c r="E13" s="1">
        <x:f>E9+1</x:f>
        <x:v>2</x:v>
      </x:c>
      <x:c r="F13" s="1">
        <x:v>1</x:v>
      </x:c>
      <x:c r="G13" s="1">
        <x:v>0</x:v>
      </x:c>
      <x:c r="H13" s="1">
        <x:v>0</x:v>
      </x:c>
      <x:c r="I13" s="1">
        <x:f t="shared" si="3"/>
        <x:v>1</x:v>
      </x:c>
      <x:c r="J13" s="1" t="e">
        <x:f>IF(#REF!="Buff",2,60)</x:f>
        <x:v>#REF!</x:v>
      </x:c>
      <x:c r="K13" s="1">
        <x:v>1</x:v>
      </x:c>
      <x:c r="L13" s="1">
        <x:v>0</x:v>
      </x:c>
      <x:c r="O13" s="3">
        <x:f t="shared" si="0"/>
        <x:v>0</x:v>
      </x:c>
      <x:c r="P13" s="3">
        <x:f t="shared" si="1"/>
        <x:v>0</x:v>
      </x:c>
      <x:c r="R13" s="3">
        <x:f t="shared" si="2"/>
        <x:v>22.5</x:v>
      </x:c>
      <x:c r="S13" s="3">
        <x:f t="shared" si="2"/>
        <x:v>22.5</x:v>
      </x:c>
      <x:c r="U13" s="7">
        <x:f>O13-$R$13</x:f>
        <x:v>-22.5</x:v>
      </x:c>
      <x:c r="V13" s="7">
        <x:f>P13-$S$13</x:f>
        <x:v>-22.5</x:v>
      </x:c>
    </x:row>
    <x:row r="14" spans="1:22">
      <x:c r="A14" s="1">
        <x:f t="shared" si="4"/>
        <x:v>4101</x:v>
      </x:c>
      <x:c r="B14" s="1" t="str">
        <x:f>B2</x:f>
        <x:v>(광역) 검 타워</x:v>
      </x:c>
      <x:c r="C14" s="1">
        <x:v>1</x:v>
      </x:c>
      <x:c r="D14" s="1">
        <x:f>ROUND(D10*3,2)</x:f>
        <x:v>30.390000000000001</x:v>
      </x:c>
      <x:c r="E14" s="1">
        <x:f>ROUND(E10*1.1,2)</x:f>
        <x:v>2.3100000000000001</x:v>
      </x:c>
      <x:c r="F14" s="1">
        <x:f>ROUND(F10*2.5,2)</x:f>
        <x:v>2.6499999999999999</x:v>
      </x:c>
      <x:c r="G14" s="1">
        <x:f>IF(G10*1.6&lt;=1,G10*1.6,1)</x:f>
        <x:v>0.10752</x:v>
      </x:c>
      <x:c r="H14" s="1">
        <x:f>ROUND(H10*2,2)</x:f>
        <x:v>0.29999999999999999</x:v>
      </x:c>
      <x:c r="I14" s="1">
        <x:f>ROUND(I2*3,2)</x:f>
        <x:v>1.5</x:v>
      </x:c>
      <x:c r="J14" s="1">
        <x:v>150</x:v>
      </x:c>
      <x:c r="K14" s="1">
        <x:v>10</x:v>
      </x:c>
      <x:c r="L14" s="1">
        <x:f>L2*2</x:f>
        <x:v>4</x:v>
      </x:c>
      <x:c r="O14" s="3">
        <x:f t="shared" si="0"/>
        <x:v>4832.0100000000002</x:v>
      </x:c>
      <x:c r="P14" s="3">
        <x:f t="shared" si="1"/>
        <x:v>5507.4099999999999</x:v>
      </x:c>
      <x:c r="R14" s="3">
        <x:f t="shared" si="2"/>
        <x:v>3601.5900000000001</x:v>
      </x:c>
      <x:c r="S14" s="3">
        <x:f t="shared" si="2"/>
        <x:v>4306.1000000000004</x:v>
      </x:c>
      <x:c r="U14" s="4">
        <x:f>O14-$R$14</x:f>
        <x:v>1230.4200000000001</x:v>
      </x:c>
      <x:c r="V14" s="4">
        <x:f>P14-$S$14</x:f>
        <x:v>1201.3099999999995</x:v>
      </x:c>
    </x:row>
    <x:row r="15" spans="1:22">
      <x:c r="A15" s="1">
        <x:f t="shared" si="4"/>
        <x:v>4201</x:v>
      </x:c>
      <x:c r="B15" s="1" t="str">
        <x:f>B3</x:f>
        <x:v>(단일) 검 타워</x:v>
      </x:c>
      <x:c r="C15" s="1">
        <x:v>1</x:v>
      </x:c>
      <x:c r="D15" s="1">
        <x:f>ROUND(D11*3,2)</x:f>
        <x:v>19.079999999999998</x:v>
      </x:c>
      <x:c r="E15" s="1">
        <x:f>ROUND(E11*1.1,2)</x:f>
        <x:v>2.3100000000000001</x:v>
      </x:c>
      <x:c r="F15" s="1">
        <x:f>ROUND(F11*2.75,2)</x:f>
        <x:v>5.4699999999999998</x:v>
      </x:c>
      <x:c r="G15" s="1">
        <x:f>IF(G11*1.6&lt;=1,G11*1.6,1)</x:f>
        <x:v>0.2016</x:v>
      </x:c>
      <x:c r="H15" s="1">
        <x:f>ROUND(H11*2,2)</x:f>
        <x:v>0.16</x:v>
      </x:c>
      <x:c r="I15" s="1">
        <x:f t="shared" si="3"/>
        <x:v>0</x:v>
      </x:c>
      <x:c r="J15" s="1">
        <x:v>0</x:v>
      </x:c>
      <x:c r="K15" s="1">
        <x:v>15</x:v>
      </x:c>
      <x:c r="L15" s="1">
        <x:v>0</x:v>
      </x:c>
      <x:c r="O15" s="3">
        <x:f t="shared" si="0"/>
        <x:v>6262.0600000000004</x:v>
      </x:c>
      <x:c r="P15" s="3">
        <x:f t="shared" si="1"/>
        <x:v>7726.4799999999996</x:v>
      </x:c>
      <x:c r="R15" s="3">
        <x:f t="shared" si="2"/>
        <x:v>5055.3500000000004</x:v>
      </x:c>
      <x:c r="S15" s="3">
        <x:f t="shared" si="2"/>
        <x:v>6489.9499999999998</x:v>
      </x:c>
      <x:c r="U15" s="5">
        <x:f>O15-$R$15</x:f>
        <x:v>1206.71</x:v>
      </x:c>
      <x:c r="V15" s="5">
        <x:f>P15-$S$15</x:f>
        <x:v>1236.5299999999997</x:v>
      </x:c>
    </x:row>
    <x:row r="16" spans="1:22">
      <x:c r="A16" s="1">
        <x:f t="shared" si="4"/>
        <x:v>4301</x:v>
      </x:c>
      <x:c r="B16" s="1" t="str">
        <x:f>B4</x:f>
        <x:v>(함정) 검 타워</x:v>
      </x:c>
      <x:c r="C16" s="1">
        <x:v>1</x:v>
      </x:c>
      <x:c r="D16" s="1">
        <x:f>ROUND(D12*3,2)</x:f>
        <x:v>225</x:v>
      </x:c>
      <x:c r="E16" s="1">
        <x:f>ROUND(E12*1.1,2)</x:f>
        <x:v>2.3100000000000001</x:v>
      </x:c>
      <x:c r="F16" s="1">
        <x:f>ROUND(F12*2.5,2)</x:f>
        <x:v>0.10000000000000001</x:v>
      </x:c>
      <x:c r="G16" s="1">
        <x:v>0</x:v>
      </x:c>
      <x:c r="H16" s="1">
        <x:v>0</x:v>
      </x:c>
      <x:c r="I16" s="1">
        <x:f t="shared" si="3"/>
        <x:v>30</x:v>
      </x:c>
      <x:c r="J16" s="1">
        <x:v>0</x:v>
      </x:c>
      <x:c r="K16" s="1">
        <x:v>1</x:v>
      </x:c>
      <x:c r="L16" s="1">
        <x:f>L4*2</x:f>
        <x:v>3</x:v>
      </x:c>
      <x:c r="O16" s="3">
        <x:f t="shared" si="0"/>
        <x:v>1350</x:v>
      </x:c>
      <x:c r="P16" s="3">
        <x:f t="shared" si="1"/>
        <x:v>1350</x:v>
      </x:c>
      <x:c r="R16" s="3">
        <x:f t="shared" si="2"/>
        <x:v>1570.5</x:v>
      </x:c>
      <x:c r="S16" s="3">
        <x:f t="shared" si="2"/>
        <x:v>1570.5</x:v>
      </x:c>
      <x:c r="U16" s="6">
        <x:f>O16-$R$16</x:f>
        <x:v>-220.5</x:v>
      </x:c>
      <x:c r="V16" s="6">
        <x:f>P16-$S$16</x:f>
        <x:v>-220.5</x:v>
      </x:c>
    </x:row>
    <x:row r="17" spans="1:22">
      <x:c r="A17" s="1">
        <x:f t="shared" si="4"/>
        <x:v>4401</x:v>
      </x:c>
      <x:c r="B17" s="1" t="str">
        <x:f>B5</x:f>
        <x:v>(버프) 검 타워</x:v>
      </x:c>
      <x:c r="C17" s="1">
        <x:v>1</x:v>
      </x:c>
      <x:c r="D17" s="1">
        <x:v>0</x:v>
      </x:c>
      <x:c r="E17" s="1">
        <x:f>E13+2</x:f>
        <x:v>4</x:v>
      </x:c>
      <x:c r="F17" s="1">
        <x:v>1</x:v>
      </x:c>
      <x:c r="G17" s="1">
        <x:v>0</x:v>
      </x:c>
      <x:c r="H17" s="1">
        <x:v>0</x:v>
      </x:c>
      <x:c r="I17" s="1">
        <x:f t="shared" si="3"/>
        <x:v>1</x:v>
      </x:c>
      <x:c r="J17" s="1" t="e">
        <x:f>IF(#REF!="Buff",3,150)</x:f>
        <x:v>#REF!</x:v>
      </x:c>
      <x:c r="K17" s="1">
        <x:v>1</x:v>
      </x:c>
      <x:c r="L17" s="1">
        <x:v>0</x:v>
      </x:c>
      <x:c r="O17" s="3">
        <x:f t="shared" si="0"/>
        <x:v>0</x:v>
      </x:c>
      <x:c r="P17" s="3">
        <x:f t="shared" si="1"/>
        <x:v>0</x:v>
      </x:c>
      <x:c r="R17" s="3">
        <x:f t="shared" si="2"/>
        <x:v>37.5</x:v>
      </x:c>
      <x:c r="S17" s="3">
        <x:f t="shared" si="2"/>
        <x:v>37.5</x:v>
      </x:c>
      <x:c r="U17" s="7">
        <x:f>O17-$R$17</x:f>
        <x:v>-37.5</x:v>
      </x:c>
      <x:c r="V17" s="7">
        <x:f>P17-$S$17</x:f>
        <x:v>-37.5</x:v>
      </x:c>
    </x:row>
    <x:row r="18" spans="1:22">
      <x:c r="A18" s="1">
        <x:f t="shared" si="4"/>
        <x:v>5101</x:v>
      </x:c>
      <x:c r="B18" s="1" t="str">
        <x:f>B2</x:f>
        <x:v>(광역) 검 타워</x:v>
      </x:c>
      <x:c r="C18" s="1">
        <x:v>1</x:v>
      </x:c>
      <x:c r="D18" s="1">
        <x:f>ROUND(D14*4.2,2)</x:f>
        <x:v>127.64</x:v>
      </x:c>
      <x:c r="E18" s="1">
        <x:f>ROUND(E14*1.25,2)</x:f>
        <x:v>2.8900000000000001</x:v>
      </x:c>
      <x:c r="F18" s="1">
        <x:f>ROUND(F14*3,2)</x:f>
        <x:v>7.9500000000000002</x:v>
      </x:c>
      <x:c r="G18" s="1">
        <x:f>IF(G14*1.8&lt;=1,G14*1.8,1)</x:f>
        <x:v>0.19353600000000001</x:v>
      </x:c>
      <x:c r="H18" s="1">
        <x:f>ROUND(H14*2.8,2)</x:f>
        <x:v>0.83999999999999997</x:v>
      </x:c>
      <x:c r="I18" s="1">
        <x:f>ROUND(I2*5,2)</x:f>
        <x:v>2.5</x:v>
      </x:c>
      <x:c r="J18" s="1">
        <x:v>525</x:v>
      </x:c>
      <x:c r="K18" s="1">
        <x:v>10</x:v>
      </x:c>
      <x:c r="L18" s="1">
        <x:f>L2*3</x:f>
        <x:v>6</x:v>
      </x:c>
      <x:c r="O18" s="3">
        <x:f t="shared" si="0"/>
        <x:v>60884.279999999999</x:v>
      </x:c>
      <x:c r="P18" s="3">
        <x:f t="shared" si="1"/>
        <x:v>82565.550000000003</x:v>
      </x:c>
      <x:c r="R18" s="3">
        <x:f t="shared" si="2"/>
        <x:v>45381.339999999997</x:v>
      </x:c>
      <x:c r="S18" s="3">
        <x:f t="shared" si="2"/>
        <x:v>69583.229999999996</x:v>
      </x:c>
      <x:c r="U18" s="4">
        <x:f>O18-$R$18</x:f>
        <x:v>15502.940000000002</x:v>
      </x:c>
      <x:c r="V18" s="4">
        <x:f>P18-$S$18</x:f>
        <x:v>12982.320000000007</x:v>
      </x:c>
    </x:row>
    <x:row r="19" spans="1:22">
      <x:c r="A19" s="1">
        <x:f t="shared" si="4"/>
        <x:v>5201</x:v>
      </x:c>
      <x:c r="B19" s="1" t="str">
        <x:f>B3</x:f>
        <x:v>(단일) 검 타워</x:v>
      </x:c>
      <x:c r="C19" s="1">
        <x:v>1</x:v>
      </x:c>
      <x:c r="D19" s="1">
        <x:f>ROUND(D15*5,2)</x:f>
        <x:v>95.400000000000006</x:v>
      </x:c>
      <x:c r="E19" s="1">
        <x:f t="shared" ref="E19:E20" si="5">ROUND(E15*1.25,2)</x:f>
        <x:v>2.8900000000000001</x:v>
      </x:c>
      <x:c r="F19" s="1">
        <x:f>ROUND(F15*4,2)</x:f>
        <x:v>21.879999999999999</x:v>
      </x:c>
      <x:c r="G19" s="1">
        <x:f>IF(G15*1.8&lt;=1,G15*1.8,1)</x:f>
        <x:v>0.36288000000000004</x:v>
      </x:c>
      <x:c r="H19" s="1">
        <x:f>ROUND(H15*2.8,2)</x:f>
        <x:v>0.45000000000000001</x:v>
      </x:c>
      <x:c r="I19" s="1">
        <x:f t="shared" si="3"/>
        <x:v>0</x:v>
      </x:c>
      <x:c r="J19" s="1">
        <x:v>0</x:v>
      </x:c>
      <x:c r="K19" s="1">
        <x:v>15</x:v>
      </x:c>
      <x:c r="L19" s="1">
        <x:v>0</x:v>
      </x:c>
      <x:c r="O19" s="3">
        <x:f t="shared" si="0"/>
        <x:v>125241.12</x:v>
      </x:c>
      <x:c r="P19" s="3">
        <x:f t="shared" si="1"/>
        <x:v>191139.98999999999</x:v>
      </x:c>
      <x:c r="R19" s="3">
        <x:f t="shared" si="2"/>
        <x:v>101106.89999999999</x:v>
      </x:c>
      <x:c r="S19" s="3">
        <x:f t="shared" si="2"/>
        <x:v>189869.89999999999</x:v>
      </x:c>
      <x:c r="U19" s="5">
        <x:f>O19-$R$19</x:f>
        <x:v>24134.220000000001</x:v>
      </x:c>
      <x:c r="V19" s="5">
        <x:f>P19-$S$19</x:f>
        <x:v>1270.0899999999965</x:v>
      </x:c>
    </x:row>
    <x:row r="20" spans="1:22">
      <x:c r="A20" s="1">
        <x:f t="shared" si="4"/>
        <x:v>5301</x:v>
      </x:c>
      <x:c r="B20" s="1" t="str">
        <x:f>B4</x:f>
        <x:v>(함정) 검 타워</x:v>
      </x:c>
      <x:c r="C20" s="1">
        <x:v>1</x:v>
      </x:c>
      <x:c r="D20" s="1">
        <x:f>ROUND(D16*5,2)</x:f>
        <x:v>1125</x:v>
      </x:c>
      <x:c r="E20" s="1">
        <x:f t="shared" si="5"/>
        <x:v>2.8900000000000001</x:v>
      </x:c>
      <x:c r="F20" s="1">
        <x:f>ROUND(F16*3,2)</x:f>
        <x:v>0.29999999999999999</x:v>
      </x:c>
      <x:c r="G20" s="1">
        <x:v>0</x:v>
      </x:c>
      <x:c r="H20" s="1">
        <x:v>0</x:v>
      </x:c>
      <x:c r="I20" s="1">
        <x:f t="shared" si="3"/>
        <x:v>30</x:v>
      </x:c>
      <x:c r="J20" s="1">
        <x:v>0</x:v>
      </x:c>
      <x:c r="K20" s="1">
        <x:v>1</x:v>
      </x:c>
      <x:c r="L20" s="1">
        <x:f>L4*3</x:f>
        <x:v>4.5</x:v>
      </x:c>
      <x:c r="O20" s="3">
        <x:f t="shared" si="0"/>
        <x:v>20250</x:v>
      </x:c>
      <x:c r="P20" s="3">
        <x:f t="shared" si="1"/>
        <x:v>20250</x:v>
      </x:c>
      <x:c r="R20" s="3">
        <x:f t="shared" si="2"/>
        <x:v>23557.5</x:v>
      </x:c>
      <x:c r="S20" s="3">
        <x:f t="shared" si="2"/>
        <x:v>23557.5</x:v>
      </x:c>
      <x:c r="U20" s="6">
        <x:f>O20-$R$20</x:f>
        <x:v>-3307.5</x:v>
      </x:c>
      <x:c r="V20" s="6">
        <x:f>P20-$S$20</x:f>
        <x:v>-3307.5</x:v>
      </x:c>
    </x:row>
    <x:row r="21" spans="1:22">
      <x:c r="A21" s="1">
        <x:f t="shared" si="4"/>
        <x:v>5401</x:v>
      </x:c>
      <x:c r="B21" s="1" t="str">
        <x:f>B5</x:f>
        <x:v>(버프) 검 타워</x:v>
      </x:c>
      <x:c r="C21" s="1">
        <x:v>1</x:v>
      </x:c>
      <x:c r="D21" s="1">
        <x:v>0</x:v>
      </x:c>
      <x:c r="E21" s="1">
        <x:f>E17+3</x:f>
        <x:v>7</x:v>
      </x:c>
      <x:c r="F21" s="1">
        <x:v>1</x:v>
      </x:c>
      <x:c r="G21" s="1">
        <x:v>0</x:v>
      </x:c>
      <x:c r="H21" s="1">
        <x:v>0</x:v>
      </x:c>
      <x:c r="I21" s="1">
        <x:f t="shared" si="3"/>
        <x:v>1</x:v>
      </x:c>
      <x:c r="J21" s="1" t="e">
        <x:f>IF(#REF!="Buff",5,525)</x:f>
        <x:v>#REF!</x:v>
      </x:c>
      <x:c r="K21" s="1">
        <x:v>1</x:v>
      </x:c>
      <x:c r="L21" s="1">
        <x:v>0</x:v>
      </x:c>
      <x:c r="O21" s="3">
        <x:f t="shared" si="0"/>
        <x:v>0</x:v>
      </x:c>
      <x:c r="P21" s="3">
        <x:f t="shared" si="1"/>
        <x:v>0</x:v>
      </x:c>
      <x:c r="R21" s="3">
        <x:f t="shared" si="2"/>
        <x:v>75</x:v>
      </x:c>
      <x:c r="S21" s="3">
        <x:f t="shared" si="2"/>
        <x:v>75</x:v>
      </x:c>
      <x:c r="U21" s="7">
        <x:f>O21-$R$21</x:f>
        <x:v>-75</x:v>
      </x:c>
      <x:c r="V21" s="7">
        <x:f>P21-$S$21</x:f>
        <x:v>-75</x:v>
      </x:c>
    </x:row>
    <x:row r="22" spans="1:22">
      <x:c r="A22" s="1">
        <x:v>1102</x:v>
      </x:c>
      <x:c r="B22" s="1" t="s">
        <x:v>31</x:v>
      </x:c>
      <x:c r="C22" s="1">
        <x:v>1</x:v>
      </x:c>
      <x:c r="D22" s="1">
        <x:v>1.55</x:v>
      </x:c>
      <x:c r="E22" s="1">
        <x:v>2.75</x:v>
      </x:c>
      <x:c r="F22" s="1">
        <x:v>0.34999999999999998</x:v>
      </x:c>
      <x:c r="G22" s="1">
        <x:v>0.05</x:v>
      </x:c>
      <x:c r="H22" s="1">
        <x:v>0.089999999999999991</x:v>
      </x:c>
      <x:c r="I22" s="1">
        <x:v>0.5</x:v>
      </x:c>
      <x:c r="J22" s="1">
        <x:v>8.6957000000000004</x:v>
      </x:c>
      <x:c r="K22" s="1">
        <x:v>10</x:v>
      </x:c>
      <x:c r="L22" s="1">
        <x:v>2</x:v>
      </x:c>
      <x:c r="O22" s="3">
        <x:f>ROUND(60*(D22*F22),2)</x:f>
        <x:v>32.549999999999997</x:v>
      </x:c>
      <x:c r="P22" s="3">
        <x:f>ROUND((O22*G22*(2+H22))+O22*(1-G22),2)</x:f>
        <x:v>34.32</x:v>
      </x:c>
      <x:c r="R22" s="3">
        <x:f t="shared" ref="R22:S41" si="6">R2</x:f>
        <x:v>25.539999999999999</x:v>
      </x:c>
      <x:c r="S22" s="3">
        <x:f t="shared" si="6"/>
        <x:v>27.010000000000002</x:v>
      </x:c>
      <x:c r="U22" s="4">
        <x:f>O22-$R$2</x:f>
        <x:v>7.009999999999998</x:v>
      </x:c>
      <x:c r="V22" s="4">
        <x:f>P22-$S$2</x:f>
        <x:v>7.3099999999999987</x:v>
      </x:c>
    </x:row>
    <x:row r="23" spans="1:22">
      <x:c r="A23" s="1">
        <x:f>A22+100</x:f>
        <x:v>1202</x:v>
      </x:c>
      <x:c r="B23" s="1" t="s">
        <x:v>34</x:v>
      </x:c>
      <x:c r="C23" s="1">
        <x:v>1</x:v>
      </x:c>
      <x:c r="D23" s="1">
        <x:v>1.28</x:v>
      </x:c>
      <x:c r="E23" s="1">
        <x:v>2.75</x:v>
      </x:c>
      <x:c r="F23" s="1">
        <x:v>0.53000000000000003</x:v>
      </x:c>
      <x:c r="G23" s="1">
        <x:v>0.080000000000000004</x:v>
      </x:c>
      <x:c r="H23" s="1">
        <x:v>0.05</x:v>
      </x:c>
      <x:c r="I23" s="1">
        <x:v>0</x:v>
      </x:c>
      <x:c r="J23" s="1">
        <x:v>0</x:v>
      </x:c>
      <x:c r="K23" s="1">
        <x:v>15</x:v>
      </x:c>
      <x:c r="L23" s="1">
        <x:v>0</x:v>
      </x:c>
      <x:c r="O23" s="3">
        <x:f t="shared" ref="O23:O41" si="7">ROUND(60*(D23*F23),2)</x:f>
        <x:v>40.700000000000003</x:v>
      </x:c>
      <x:c r="P23" s="3">
        <x:f t="shared" ref="P23:P41" si="8">ROUND((O23*G23*(2+H23))+O23*(1-G23),2)</x:f>
        <x:v>44.119999999999997</x:v>
      </x:c>
      <x:c r="R23" s="3">
        <x:f t="shared" si="6"/>
        <x:v>33.960000000000001</x:v>
      </x:c>
      <x:c r="S23" s="3">
        <x:f t="shared" si="6"/>
        <x:v>36.509999999999998</x:v>
      </x:c>
      <x:c r="U23" s="5">
        <x:f>O23-$R$3</x:f>
        <x:v>6.740000000000002</x:v>
      </x:c>
      <x:c r="V23" s="5">
        <x:f>P23-$S$3</x:f>
        <x:v>7.6099999999999994</x:v>
      </x:c>
    </x:row>
    <x:row r="24" spans="1:22">
      <x:c r="A24" s="1">
        <x:f>A22+200</x:f>
        <x:v>1302</x:v>
      </x:c>
      <x:c r="B24" s="1" t="s">
        <x:v>24</x:v>
      </x:c>
      <x:c r="C24" s="1">
        <x:v>1</x:v>
      </x:c>
      <x:c r="D24" s="1">
        <x:v>8</x:v>
      </x:c>
      <x:c r="E24" s="1">
        <x:v>2.75</x:v>
      </x:c>
      <x:c r="F24" s="1">
        <x:v>0.014999999999999999</x:v>
      </x:c>
      <x:c r="G24" s="1">
        <x:v>0</x:v>
      </x:c>
      <x:c r="H24" s="1">
        <x:v>0</x:v>
      </x:c>
      <x:c r="I24" s="1">
        <x:v>30</x:v>
      </x:c>
      <x:c r="J24" s="1">
        <x:v>0</x:v>
      </x:c>
      <x:c r="K24" s="1">
        <x:v>1</x:v>
      </x:c>
      <x:c r="L24" s="1">
        <x:v>1.5</x:v>
      </x:c>
      <x:c r="O24" s="3">
        <x:f t="shared" si="7"/>
        <x:v>7.2000000000000002</x:v>
      </x:c>
      <x:c r="P24" s="3">
        <x:f t="shared" si="8"/>
        <x:v>7.2000000000000002</x:v>
      </x:c>
      <x:c r="R24" s="3">
        <x:f t="shared" si="6"/>
        <x:v>9.0800000000000001</x:v>
      </x:c>
      <x:c r="S24" s="3">
        <x:f t="shared" si="6"/>
        <x:v>9.0800000000000001</x:v>
      </x:c>
      <x:c r="U24" s="6">
        <x:f>O24-$R$4</x:f>
        <x:v>-1.8799999999999999</x:v>
      </x:c>
      <x:c r="V24" s="6">
        <x:f>P24-$S$4</x:f>
        <x:v>-1.8799999999999999</x:v>
      </x:c>
    </x:row>
    <x:row r="25" spans="1:22">
      <x:c r="A25" s="1">
        <x:f>A22+300</x:f>
        <x:v>1402</x:v>
      </x:c>
      <x:c r="B25" s="1" t="s">
        <x:v>40</x:v>
      </x:c>
      <x:c r="C25" s="1">
        <x:v>1</x:v>
      </x:c>
      <x:c r="D25" s="1">
        <x:v>0</x:v>
      </x:c>
      <x:c r="E25" s="1">
        <x:v>1</x:v>
      </x:c>
      <x:c r="F25" s="1">
        <x:v>1</x:v>
      </x:c>
      <x:c r="G25" s="1">
        <x:v>0</x:v>
      </x:c>
      <x:c r="H25" s="1">
        <x:v>0</x:v>
      </x:c>
      <x:c r="I25" s="1">
        <x:v>1</x:v>
      </x:c>
      <x:c r="J25" s="1" t="e">
        <x:f>IF(#REF!="Buff",1.2,8.6957)</x:f>
        <x:v>#REF!</x:v>
      </x:c>
      <x:c r="K25" s="1">
        <x:v>1</x:v>
      </x:c>
      <x:c r="L25" s="1">
        <x:v>0</x:v>
      </x:c>
      <x:c r="O25" s="3">
        <x:f t="shared" si="7"/>
        <x:v>0</x:v>
      </x:c>
      <x:c r="P25" s="3">
        <x:f t="shared" si="8"/>
        <x:v>0</x:v>
      </x:c>
      <x:c r="R25" s="3">
        <x:f t="shared" si="6"/>
        <x:v>7.5</x:v>
      </x:c>
      <x:c r="S25" s="3">
        <x:f t="shared" si="6"/>
        <x:v>7.5</x:v>
      </x:c>
      <x:c r="U25" s="7">
        <x:f>O25-$R$5</x:f>
        <x:v>-7.5</x:v>
      </x:c>
      <x:c r="V25" s="7">
        <x:f>P25-$S$5</x:f>
        <x:v>-7.5</x:v>
      </x:c>
    </x:row>
    <x:row r="26" spans="1:22">
      <x:c r="A26" s="1">
        <x:f>A22+1000</x:f>
        <x:v>2102</x:v>
      </x:c>
      <x:c r="B26" s="1" t="str">
        <x:f>B22</x:f>
        <x:v>(광역) 활 타워</x:v>
      </x:c>
      <x:c r="C26" s="1">
        <x:v>1</x:v>
      </x:c>
      <x:c r="D26" s="1">
        <x:f>ROUND(D22*1.8,2)</x:f>
        <x:v>2.79</x:v>
      </x:c>
      <x:c r="E26" s="1">
        <x:f>ROUND(E22,2)</x:f>
        <x:v>2.75</x:v>
      </x:c>
      <x:c r="F26" s="1">
        <x:f>ROUND(F22*2.1,2)</x:f>
        <x:v>0.73999999999999999</x:v>
      </x:c>
      <x:c r="G26" s="1">
        <x:f>IF(G22*1.2&lt;=1,G22*1.2,1)</x:f>
        <x:v>0.059999999999999998</x:v>
      </x:c>
      <x:c r="H26" s="1">
        <x:f>ROUND(H22*1.2,2)</x:f>
        <x:v>0.11</x:v>
      </x:c>
      <x:c r="I26" s="1">
        <x:f>ROUND(I22*1.5,2)</x:f>
        <x:v>0.75</x:v>
      </x:c>
      <x:c r="J26" s="1">
        <x:v>25</x:v>
      </x:c>
      <x:c r="K26" s="1">
        <x:v>10</x:v>
      </x:c>
      <x:c r="L26" s="1">
        <x:f>L22</x:f>
        <x:v>2</x:v>
      </x:c>
      <x:c r="O26" s="3">
        <x:f t="shared" si="7"/>
        <x:v>123.88</x:v>
      </x:c>
      <x:c r="P26" s="3">
        <x:f t="shared" si="8"/>
        <x:v>132.13</x:v>
      </x:c>
      <x:c r="R26" s="3">
        <x:f t="shared" si="6"/>
        <x:v>96.689999999999998</x:v>
      </x:c>
      <x:c r="S26" s="3">
        <x:f t="shared" si="6"/>
        <x:v>103.51000000000001</x:v>
      </x:c>
      <x:c r="U26" s="4">
        <x:f>O26-$R$6</x:f>
        <x:v>27.189999999999998</x:v>
      </x:c>
      <x:c r="V26" s="4">
        <x:f>P26-$S$6</x:f>
        <x:v>28.61999999999999</x:v>
      </x:c>
    </x:row>
    <x:row r="27" spans="1:22">
      <x:c r="A27" s="1">
        <x:f>A23+1000</x:f>
        <x:v>2202</x:v>
      </x:c>
      <x:c r="B27" s="1" t="str">
        <x:f>B23</x:f>
        <x:v>(단일) 활 타워</x:v>
      </x:c>
      <x:c r="C27" s="1">
        <x:v>1</x:v>
      </x:c>
      <x:c r="D27" s="1">
        <x:f>ROUND(D23*1.7,2)</x:f>
        <x:v>2.1800000000000002</x:v>
      </x:c>
      <x:c r="E27" s="1">
        <x:f>ROUND(E23,2)</x:f>
        <x:v>2.75</x:v>
      </x:c>
      <x:c r="F27" s="1">
        <x:f>ROUND(F23*2.2,2)</x:f>
        <x:v>1.1699999999999999</x:v>
      </x:c>
      <x:c r="G27" s="1">
        <x:f>IF(G23*1.2&lt;=1,G23*1.2,1)</x:f>
        <x:v>0.095999999999999996</x:v>
      </x:c>
      <x:c r="H27" s="1">
        <x:f>ROUND(H23*1.2,2)</x:f>
        <x:v>0.059999999999999998</x:v>
      </x:c>
      <x:c r="I27" s="1">
        <x:f t="shared" ref="I27:I41" si="9">I23</x:f>
        <x:v>0</x:v>
      </x:c>
      <x:c r="J27" s="1">
        <x:v>0</x:v>
      </x:c>
      <x:c r="K27" s="1">
        <x:v>15</x:v>
      </x:c>
      <x:c r="L27" s="1">
        <x:v>0</x:v>
      </x:c>
      <x:c r="O27" s="3">
        <x:f t="shared" si="7"/>
        <x:v>153.03999999999999</x:v>
      </x:c>
      <x:c r="P27" s="3">
        <x:f t="shared" si="8"/>
        <x:v>168.61000000000001</x:v>
      </x:c>
      <x:c r="R27" s="3">
        <x:f t="shared" si="6"/>
        <x:v>127.56999999999999</x:v>
      </x:c>
      <x:c r="S27" s="3">
        <x:f t="shared" si="6"/>
        <x:v>139.41</x:v>
      </x:c>
      <x:c r="U27" s="5">
        <x:f>O27-$R$7</x:f>
        <x:v>25.469999999999999</x:v>
      </x:c>
      <x:c r="V27" s="5">
        <x:f>P27-$S$7</x:f>
        <x:v>29.200000000000017</x:v>
      </x:c>
    </x:row>
    <x:row r="28" spans="1:22">
      <x:c r="A28" s="1">
        <x:f t="shared" ref="A28:A41" si="10">A24+1000</x:f>
        <x:v>2302</x:v>
      </x:c>
      <x:c r="B28" s="1" t="str">
        <x:f>B24</x:f>
        <x:v>(함정) 활 타워</x:v>
      </x:c>
      <x:c r="C28" s="1">
        <x:v>1</x:v>
      </x:c>
      <x:c r="D28" s="1">
        <x:f>ROUND(D24*2,2)</x:f>
        <x:v>16</x:v>
      </x:c>
      <x:c r="E28" s="1">
        <x:f>ROUND(E24,2)</x:f>
        <x:v>2.75</x:v>
      </x:c>
      <x:c r="F28" s="1">
        <x:f>ROUND(F24*2.1,2)</x:f>
        <x:v>0.029999999999999999</x:v>
      </x:c>
      <x:c r="G28" s="1">
        <x:v>0</x:v>
      </x:c>
      <x:c r="H28" s="1">
        <x:v>0</x:v>
      </x:c>
      <x:c r="I28" s="1">
        <x:f t="shared" si="9"/>
        <x:v>30</x:v>
      </x:c>
      <x:c r="J28" s="1">
        <x:v>0</x:v>
      </x:c>
      <x:c r="K28" s="1">
        <x:v>1</x:v>
      </x:c>
      <x:c r="L28" s="1">
        <x:f>L24</x:f>
        <x:v>1.5</x:v>
      </x:c>
      <x:c r="O28" s="3">
        <x:f t="shared" si="7"/>
        <x:v>28.800000000000001</x:v>
      </x:c>
      <x:c r="P28" s="3">
        <x:f t="shared" si="8"/>
        <x:v>28.800000000000001</x:v>
      </x:c>
      <x:c r="R28" s="3">
        <x:f t="shared" si="6"/>
        <x:v>38.280000000000001</x:v>
      </x:c>
      <x:c r="S28" s="3">
        <x:f t="shared" si="6"/>
        <x:v>38.280000000000001</x:v>
      </x:c>
      <x:c r="U28" s="6">
        <x:f>O28-$R$8</x:f>
        <x:v>-9.4800000000000004</x:v>
      </x:c>
      <x:c r="V28" s="6">
        <x:f>P28-$S$8</x:f>
        <x:v>-9.4800000000000004</x:v>
      </x:c>
    </x:row>
    <x:row r="29" spans="1:22">
      <x:c r="A29" s="1">
        <x:f t="shared" si="10"/>
        <x:v>2402</x:v>
      </x:c>
      <x:c r="B29" s="1" t="str">
        <x:f>B25</x:f>
        <x:v>(버프) 활 타워</x:v>
      </x:c>
      <x:c r="C29" s="1">
        <x:v>1</x:v>
      </x:c>
      <x:c r="D29" s="1">
        <x:v>0</x:v>
      </x:c>
      <x:c r="E29" s="1">
        <x:f>E25+0</x:f>
        <x:v>1</x:v>
      </x:c>
      <x:c r="F29" s="1">
        <x:v>1</x:v>
      </x:c>
      <x:c r="G29" s="1">
        <x:v>0</x:v>
      </x:c>
      <x:c r="H29" s="1">
        <x:v>0</x:v>
      </x:c>
      <x:c r="I29" s="1">
        <x:f t="shared" si="9"/>
        <x:v>1</x:v>
      </x:c>
      <x:c r="J29" s="1" t="e">
        <x:f>IF(#REF!="Buff",1.4,25)</x:f>
        <x:v>#REF!</x:v>
      </x:c>
      <x:c r="K29" s="1">
        <x:v>1</x:v>
      </x:c>
      <x:c r="L29" s="1">
        <x:v>0</x:v>
      </x:c>
      <x:c r="O29" s="3">
        <x:f t="shared" si="7"/>
        <x:v>0</x:v>
      </x:c>
      <x:c r="P29" s="3">
        <x:f t="shared" si="8"/>
        <x:v>0</x:v>
      </x:c>
      <x:c r="R29" s="3">
        <x:f t="shared" si="6"/>
        <x:v>15</x:v>
      </x:c>
      <x:c r="S29" s="3">
        <x:f t="shared" si="6"/>
        <x:v>15</x:v>
      </x:c>
      <x:c r="U29" s="7">
        <x:f>O29-$R$9</x:f>
        <x:v>-15</x:v>
      </x:c>
      <x:c r="V29" s="7">
        <x:f>P29-$S$9</x:f>
        <x:v>-15</x:v>
      </x:c>
    </x:row>
    <x:row r="30" spans="1:22">
      <x:c r="A30" s="1">
        <x:f t="shared" si="10"/>
        <x:v>3102</x:v>
      </x:c>
      <x:c r="B30" s="1" t="str">
        <x:f>B22</x:f>
        <x:v>(광역) 활 타워</x:v>
      </x:c>
      <x:c r="C30" s="1">
        <x:v>1</x:v>
      </x:c>
      <x:c r="D30" s="1">
        <x:f>ROUND(D26*2.25,2)</x:f>
        <x:v>6.2800000000000002</x:v>
      </x:c>
      <x:c r="E30" s="1">
        <x:f>ROUND(E26,2)</x:f>
        <x:v>2.75</x:v>
      </x:c>
      <x:c r="F30" s="1">
        <x:f>ROUND(F26*2.2,2)</x:f>
        <x:v>1.6299999999999999</x:v>
      </x:c>
      <x:c r="G30" s="1">
        <x:f>IF(G26*1.4&lt;=1,G26*1.4,1)</x:f>
        <x:v>0.083999999999999986</x:v>
      </x:c>
      <x:c r="H30" s="1">
        <x:f>ROUND(H26*1.5,2)</x:f>
        <x:v>0.17000000000000001</x:v>
      </x:c>
      <x:c r="I30" s="1">
        <x:f>ROUND(I22*2,2)</x:f>
        <x:v>1</x:v>
      </x:c>
      <x:c r="J30" s="1">
        <x:v>60</x:v>
      </x:c>
      <x:c r="K30" s="1">
        <x:v>10</x:v>
      </x:c>
      <x:c r="L30" s="1">
        <x:f>L22*1.5</x:f>
        <x:v>3</x:v>
      </x:c>
      <x:c r="O30" s="3">
        <x:f t="shared" si="7"/>
        <x:v>614.17999999999995</x:v>
      </x:c>
      <x:c r="P30" s="3">
        <x:f t="shared" si="8"/>
        <x:v>674.53999999999996</x:v>
      </x:c>
      <x:c r="R30" s="3">
        <x:f t="shared" si="6"/>
        <x:v>479.72000000000003</x:v>
      </x:c>
      <x:c r="S30" s="3">
        <x:f t="shared" si="6"/>
        <x:v>530</x:v>
      </x:c>
      <x:c r="U30" s="4">
        <x:f>O30-$R$10</x:f>
        <x:v>134.45999999999992</x:v>
      </x:c>
      <x:c r="V30" s="4">
        <x:f>P30-$S$10</x:f>
        <x:v>144.53999999999996</x:v>
      </x:c>
    </x:row>
    <x:row r="31" spans="1:22">
      <x:c r="A31" s="1">
        <x:f t="shared" si="10"/>
        <x:v>3202</x:v>
      </x:c>
      <x:c r="B31" s="1" t="str">
        <x:f>B23</x:f>
        <x:v>(단일) 활 타워</x:v>
      </x:c>
      <x:c r="C31" s="1">
        <x:v>1</x:v>
      </x:c>
      <x:c r="D31" s="1">
        <x:f>ROUND(D27*2,2)</x:f>
        <x:v>4.3600000000000003</x:v>
      </x:c>
      <x:c r="E31" s="1">
        <x:f>ROUND(E27,2)</x:f>
        <x:v>2.75</x:v>
      </x:c>
      <x:c r="F31" s="1">
        <x:f>ROUND(F27*2.4,2)</x:f>
        <x:v>2.8100000000000001</x:v>
      </x:c>
      <x:c r="G31" s="1">
        <x:f>IF(G27*1.4&lt;=1,G27*1.4,1)</x:f>
        <x:v>0.13439999999999999</x:v>
      </x:c>
      <x:c r="H31" s="1">
        <x:f>ROUND(H27*1.5,2)</x:f>
        <x:v>0.089999999999999991</x:v>
      </x:c>
      <x:c r="I31" s="1">
        <x:f t="shared" si="9"/>
        <x:v>0</x:v>
      </x:c>
      <x:c r="J31" s="1">
        <x:v>0</x:v>
      </x:c>
      <x:c r="K31" s="1">
        <x:v>15</x:v>
      </x:c>
      <x:c r="L31" s="1">
        <x:v>0</x:v>
      </x:c>
      <x:c r="O31" s="3">
        <x:f t="shared" si="7"/>
        <x:v>735.10000000000002</x:v>
      </x:c>
      <x:c r="P31" s="3">
        <x:f t="shared" si="8"/>
        <x:v>842.78999999999996</x:v>
      </x:c>
      <x:c r="R31" s="3">
        <x:f t="shared" si="6"/>
        <x:v>612.57000000000005</x:v>
      </x:c>
      <x:c r="S31" s="3">
        <x:f t="shared" si="6"/>
        <x:v>699.50999999999999</x:v>
      </x:c>
      <x:c r="U31" s="5">
        <x:f>O31-$R$11</x:f>
        <x:v>122.52999999999997</x:v>
      </x:c>
      <x:c r="V31" s="5">
        <x:f>P31-$S$11</x:f>
        <x:v>143.27999999999997</x:v>
      </x:c>
    </x:row>
    <x:row r="32" spans="1:22">
      <x:c r="A32" s="1">
        <x:f t="shared" si="10"/>
        <x:v>3302</x:v>
      </x:c>
      <x:c r="B32" s="1" t="str">
        <x:f>B24</x:f>
        <x:v>(함정) 활 타워</x:v>
      </x:c>
      <x:c r="C32" s="1">
        <x:v>1</x:v>
      </x:c>
      <x:c r="D32" s="1">
        <x:f>ROUND(D28*2.5,2)</x:f>
        <x:v>40</x:v>
      </x:c>
      <x:c r="E32" s="1">
        <x:f>ROUND(E28,2)</x:f>
        <x:v>2.75</x:v>
      </x:c>
      <x:c r="F32" s="1">
        <x:f>ROUND(F28*2.2,2)</x:f>
        <x:v>0.070000000000000007</x:v>
      </x:c>
      <x:c r="G32" s="1">
        <x:v>0</x:v>
      </x:c>
      <x:c r="H32" s="1">
        <x:v>0</x:v>
      </x:c>
      <x:c r="I32" s="1">
        <x:f t="shared" si="9"/>
        <x:v>30</x:v>
      </x:c>
      <x:c r="J32" s="1">
        <x:v>0</x:v>
      </x:c>
      <x:c r="K32" s="1">
        <x:v>1</x:v>
      </x:c>
      <x:c r="L32" s="1">
        <x:f>L24*1.5</x:f>
        <x:v>2.25</x:v>
      </x:c>
      <x:c r="O32" s="3">
        <x:f t="shared" si="7"/>
        <x:v>168</x:v>
      </x:c>
      <x:c r="P32" s="3">
        <x:f t="shared" si="8"/>
        <x:v>168</x:v>
      </x:c>
      <x:c r="R32" s="3">
        <x:f t="shared" si="6"/>
        <x:v>208.80000000000001</x:v>
      </x:c>
      <x:c r="S32" s="3">
        <x:f t="shared" si="6"/>
        <x:v>208.80000000000001</x:v>
      </x:c>
      <x:c r="U32" s="6">
        <x:f>O32-$R$12</x:f>
        <x:v>-40.800000000000011</x:v>
      </x:c>
      <x:c r="V32" s="6">
        <x:f>P32-$S$12</x:f>
        <x:v>-40.800000000000011</x:v>
      </x:c>
    </x:row>
    <x:row r="33" spans="1:22">
      <x:c r="A33" s="1">
        <x:f t="shared" si="10"/>
        <x:v>3402</x:v>
      </x:c>
      <x:c r="B33" s="1" t="str">
        <x:f>B25</x:f>
        <x:v>(버프) 활 타워</x:v>
      </x:c>
      <x:c r="C33" s="1">
        <x:v>1</x:v>
      </x:c>
      <x:c r="D33" s="1">
        <x:v>0</x:v>
      </x:c>
      <x:c r="E33" s="1">
        <x:f>E29+1</x:f>
        <x:v>2</x:v>
      </x:c>
      <x:c r="F33" s="1">
        <x:v>1</x:v>
      </x:c>
      <x:c r="G33" s="1">
        <x:v>0</x:v>
      </x:c>
      <x:c r="H33" s="1">
        <x:v>0</x:v>
      </x:c>
      <x:c r="I33" s="1">
        <x:f t="shared" si="9"/>
        <x:v>1</x:v>
      </x:c>
      <x:c r="J33" s="1" t="e">
        <x:f>IF(#REF!="Buff",2,60)</x:f>
        <x:v>#REF!</x:v>
      </x:c>
      <x:c r="K33" s="1">
        <x:v>1</x:v>
      </x:c>
      <x:c r="L33" s="1">
        <x:v>0</x:v>
      </x:c>
      <x:c r="O33" s="3">
        <x:f t="shared" si="7"/>
        <x:v>0</x:v>
      </x:c>
      <x:c r="P33" s="3">
        <x:f t="shared" si="8"/>
        <x:v>0</x:v>
      </x:c>
      <x:c r="R33" s="3">
        <x:f t="shared" si="6"/>
        <x:v>22.5</x:v>
      </x:c>
      <x:c r="S33" s="3">
        <x:f t="shared" si="6"/>
        <x:v>22.5</x:v>
      </x:c>
      <x:c r="U33" s="7">
        <x:f>O33-$R$13</x:f>
        <x:v>-22.5</x:v>
      </x:c>
      <x:c r="V33" s="7">
        <x:f>P33-$S$13</x:f>
        <x:v>-22.5</x:v>
      </x:c>
    </x:row>
    <x:row r="34" spans="1:22">
      <x:c r="A34" s="1">
        <x:f t="shared" si="10"/>
        <x:v>4102</x:v>
      </x:c>
      <x:c r="B34" s="1" t="str">
        <x:f>B22</x:f>
        <x:v>(광역) 활 타워</x:v>
      </x:c>
      <x:c r="C34" s="1">
        <x:v>1</x:v>
      </x:c>
      <x:c r="D34" s="1">
        <x:f>ROUND(D30*3,2)</x:f>
        <x:v>18.84</x:v>
      </x:c>
      <x:c r="E34" s="1">
        <x:f>ROUND(E30*1.1,2)</x:f>
        <x:v>3.0299999999999998</x:v>
      </x:c>
      <x:c r="F34" s="1">
        <x:f>ROUND(F30*2.5,2)</x:f>
        <x:v>4.0800000000000001</x:v>
      </x:c>
      <x:c r="G34" s="1">
        <x:f>IF(G30*1.6&lt;=1,G30*1.6,1)</x:f>
        <x:v>0.13439999999999999</x:v>
      </x:c>
      <x:c r="H34" s="1">
        <x:f>ROUND(H30*2,2)</x:f>
        <x:v>0.34000000000000002</x:v>
      </x:c>
      <x:c r="I34" s="1">
        <x:f>ROUND(I22*3,2)</x:f>
        <x:v>1.5</x:v>
      </x:c>
      <x:c r="J34" s="1">
        <x:v>150</x:v>
      </x:c>
      <x:c r="K34" s="1">
        <x:v>10</x:v>
      </x:c>
      <x:c r="L34" s="1">
        <x:f>L22*2</x:f>
        <x:v>4</x:v>
      </x:c>
      <x:c r="O34" s="3">
        <x:f t="shared" si="7"/>
        <x:v>4612.0299999999997</x:v>
      </x:c>
      <x:c r="P34" s="3">
        <x:f t="shared" si="8"/>
        <x:v>5442.6400000000003</x:v>
      </x:c>
      <x:c r="R34" s="3">
        <x:f t="shared" si="6"/>
        <x:v>3601.5900000000001</x:v>
      </x:c>
      <x:c r="S34" s="3">
        <x:f t="shared" si="6"/>
        <x:v>4306.1000000000004</x:v>
      </x:c>
      <x:c r="U34" s="4">
        <x:f>O34-$R$14</x:f>
        <x:v>1010.4399999999996</x:v>
      </x:c>
      <x:c r="V34" s="4">
        <x:f>P34-$S$14</x:f>
        <x:v>1136.54</x:v>
      </x:c>
    </x:row>
    <x:row r="35" spans="1:22">
      <x:c r="A35" s="1">
        <x:f t="shared" si="10"/>
        <x:v>4202</x:v>
      </x:c>
      <x:c r="B35" s="1" t="str">
        <x:f>B23</x:f>
        <x:v>(단일) 활 타워</x:v>
      </x:c>
      <x:c r="C35" s="1">
        <x:v>1</x:v>
      </x:c>
      <x:c r="D35" s="1">
        <x:f>ROUND(D31*3,2)</x:f>
        <x:v>13.08</x:v>
      </x:c>
      <x:c r="E35" s="1">
        <x:f>ROUND(E31*1.1,2)</x:f>
        <x:v>3.0299999999999998</x:v>
      </x:c>
      <x:c r="F35" s="1">
        <x:f>ROUND(F31*2.75,2)</x:f>
        <x:v>7.7300000000000004</x:v>
      </x:c>
      <x:c r="G35" s="1">
        <x:f>IF(G31*1.6&lt;=1,G31*1.6,1)</x:f>
        <x:v>0.21504000000000001</x:v>
      </x:c>
      <x:c r="H35" s="1">
        <x:f>ROUND(H31*2,2)</x:f>
        <x:v>0.17999999999999999</x:v>
      </x:c>
      <x:c r="I35" s="1">
        <x:f t="shared" si="9"/>
        <x:v>0</x:v>
      </x:c>
      <x:c r="J35" s="1">
        <x:v>0</x:v>
      </x:c>
      <x:c r="K35" s="1">
        <x:v>15</x:v>
      </x:c>
      <x:c r="L35" s="1">
        <x:v>0</x:v>
      </x:c>
      <x:c r="O35" s="3">
        <x:f t="shared" si="7"/>
        <x:v>6066.5</x:v>
      </x:c>
      <x:c r="P35" s="3">
        <x:f t="shared" si="8"/>
        <x:v>7605.8599999999997</x:v>
      </x:c>
      <x:c r="R35" s="3">
        <x:f t="shared" si="6"/>
        <x:v>5055.3500000000004</x:v>
      </x:c>
      <x:c r="S35" s="3">
        <x:f t="shared" si="6"/>
        <x:v>6489.9499999999998</x:v>
      </x:c>
      <x:c r="U35" s="5">
        <x:f>O35-$R$15</x:f>
        <x:v>1011.1499999999996</x:v>
      </x:c>
      <x:c r="V35" s="5">
        <x:f>P35-$S$15</x:f>
        <x:v>1115.9099999999999</x:v>
      </x:c>
    </x:row>
    <x:row r="36" spans="1:22">
      <x:c r="A36" s="1">
        <x:f t="shared" si="10"/>
        <x:v>4302</x:v>
      </x:c>
      <x:c r="B36" s="1" t="str">
        <x:f>B24</x:f>
        <x:v>(함정) 활 타워</x:v>
      </x:c>
      <x:c r="C36" s="1">
        <x:v>1</x:v>
      </x:c>
      <x:c r="D36" s="1">
        <x:f>ROUND(D32*3,2)</x:f>
        <x:v>120</x:v>
      </x:c>
      <x:c r="E36" s="1">
        <x:f>ROUND(E32*1.1,2)</x:f>
        <x:v>3.0299999999999998</x:v>
      </x:c>
      <x:c r="F36" s="1">
        <x:f>ROUND(F32*2.5,2)</x:f>
        <x:v>0.17999999999999999</x:v>
      </x:c>
      <x:c r="G36" s="1">
        <x:v>0</x:v>
      </x:c>
      <x:c r="H36" s="1">
        <x:v>0</x:v>
      </x:c>
      <x:c r="I36" s="1">
        <x:f t="shared" si="9"/>
        <x:v>30</x:v>
      </x:c>
      <x:c r="J36" s="1">
        <x:v>0</x:v>
      </x:c>
      <x:c r="K36" s="1">
        <x:v>1</x:v>
      </x:c>
      <x:c r="L36" s="1">
        <x:f>L24*2</x:f>
        <x:v>3</x:v>
      </x:c>
      <x:c r="O36" s="3">
        <x:f t="shared" si="7"/>
        <x:v>1296</x:v>
      </x:c>
      <x:c r="P36" s="3">
        <x:f t="shared" si="8"/>
        <x:v>1296</x:v>
      </x:c>
      <x:c r="R36" s="3">
        <x:f t="shared" si="6"/>
        <x:v>1570.5</x:v>
      </x:c>
      <x:c r="S36" s="3">
        <x:f t="shared" si="6"/>
        <x:v>1570.5</x:v>
      </x:c>
      <x:c r="U36" s="6">
        <x:f>O36-$R$16</x:f>
        <x:v>-274.5</x:v>
      </x:c>
      <x:c r="V36" s="6">
        <x:f>P36-$S$16</x:f>
        <x:v>-274.5</x:v>
      </x:c>
    </x:row>
    <x:row r="37" spans="1:22">
      <x:c r="A37" s="1">
        <x:f t="shared" si="10"/>
        <x:v>4402</x:v>
      </x:c>
      <x:c r="B37" s="1" t="str">
        <x:f>B25</x:f>
        <x:v>(버프) 활 타워</x:v>
      </x:c>
      <x:c r="C37" s="1">
        <x:v>1</x:v>
      </x:c>
      <x:c r="D37" s="1">
        <x:v>0</x:v>
      </x:c>
      <x:c r="E37" s="1">
        <x:f>E33+2</x:f>
        <x:v>4</x:v>
      </x:c>
      <x:c r="F37" s="1">
        <x:v>1</x:v>
      </x:c>
      <x:c r="G37" s="1">
        <x:v>0</x:v>
      </x:c>
      <x:c r="H37" s="1">
        <x:v>0</x:v>
      </x:c>
      <x:c r="I37" s="1">
        <x:f t="shared" si="9"/>
        <x:v>1</x:v>
      </x:c>
      <x:c r="J37" s="1" t="e">
        <x:f>IF(#REF!="Buff",3,150)</x:f>
        <x:v>#REF!</x:v>
      </x:c>
      <x:c r="K37" s="1">
        <x:v>1</x:v>
      </x:c>
      <x:c r="L37" s="1">
        <x:v>0</x:v>
      </x:c>
      <x:c r="O37" s="3">
        <x:f t="shared" si="7"/>
        <x:v>0</x:v>
      </x:c>
      <x:c r="P37" s="3">
        <x:f t="shared" si="8"/>
        <x:v>0</x:v>
      </x:c>
      <x:c r="R37" s="3">
        <x:f t="shared" si="6"/>
        <x:v>37.5</x:v>
      </x:c>
      <x:c r="S37" s="3">
        <x:f t="shared" si="6"/>
        <x:v>37.5</x:v>
      </x:c>
      <x:c r="U37" s="7">
        <x:f>O37-$R$17</x:f>
        <x:v>-37.5</x:v>
      </x:c>
      <x:c r="V37" s="7">
        <x:f>P37-$S$17</x:f>
        <x:v>-37.5</x:v>
      </x:c>
    </x:row>
    <x:row r="38" spans="1:22">
      <x:c r="A38" s="1">
        <x:f t="shared" si="10"/>
        <x:v>5102</x:v>
      </x:c>
      <x:c r="B38" s="1" t="str">
        <x:f>B22</x:f>
        <x:v>(광역) 활 타워</x:v>
      </x:c>
      <x:c r="C38" s="1">
        <x:v>1</x:v>
      </x:c>
      <x:c r="D38" s="1">
        <x:f>ROUND(D34*4.2,2)</x:f>
        <x:v>79.129999999999995</x:v>
      </x:c>
      <x:c r="E38" s="1">
        <x:f>ROUND(E34*1.25,2)</x:f>
        <x:v>3.79</x:v>
      </x:c>
      <x:c r="F38" s="1">
        <x:f>ROUND(F34*3,2)</x:f>
        <x:v>12.24</x:v>
      </x:c>
      <x:c r="G38" s="1">
        <x:f>IF(G34*1.8&lt;=1,G34*1.8,1)</x:f>
        <x:v>0.24192</x:v>
      </x:c>
      <x:c r="H38" s="1">
        <x:f>ROUND(H34*2.8,2)</x:f>
        <x:v>0.94999999999999996</x:v>
      </x:c>
      <x:c r="I38" s="1">
        <x:f>ROUND(I22*5,2)</x:f>
        <x:v>2.5</x:v>
      </x:c>
      <x:c r="J38" s="1">
        <x:v>525</x:v>
      </x:c>
      <x:c r="K38" s="1">
        <x:v>10</x:v>
      </x:c>
      <x:c r="L38" s="1">
        <x:f>L22*3</x:f>
        <x:v>6</x:v>
      </x:c>
      <x:c r="O38" s="3">
        <x:f t="shared" si="7"/>
        <x:v>58113.07</x:v>
      </x:c>
      <x:c r="P38" s="3">
        <x:f t="shared" si="8"/>
        <x:v>85527.559999999998</x:v>
      </x:c>
      <x:c r="R38" s="3">
        <x:f t="shared" si="6"/>
        <x:v>45381.339999999997</x:v>
      </x:c>
      <x:c r="S38" s="3">
        <x:f t="shared" si="6"/>
        <x:v>69583.229999999996</x:v>
      </x:c>
      <x:c r="U38" s="4">
        <x:f>O38-$R$18</x:f>
        <x:v>12731.730000000003</x:v>
      </x:c>
      <x:c r="V38" s="4">
        <x:f>P38-$S$18</x:f>
        <x:v>15944.330000000002</x:v>
      </x:c>
    </x:row>
    <x:row r="39" spans="1:22">
      <x:c r="A39" s="1">
        <x:f t="shared" si="10"/>
        <x:v>5202</x:v>
      </x:c>
      <x:c r="B39" s="1" t="str">
        <x:f>B23</x:f>
        <x:v>(단일) 활 타워</x:v>
      </x:c>
      <x:c r="C39" s="1">
        <x:v>1</x:v>
      </x:c>
      <x:c r="D39" s="1">
        <x:f>ROUND(D35*5,2)</x:f>
        <x:v>65.400000000000006</x:v>
      </x:c>
      <x:c r="E39" s="1">
        <x:f t="shared" ref="E39:E40" si="11">ROUND(E35*1.25,2)</x:f>
        <x:v>3.79</x:v>
      </x:c>
      <x:c r="F39" s="1">
        <x:f>ROUND(F35*4,2)</x:f>
        <x:v>30.920000000000002</x:v>
      </x:c>
      <x:c r="G39" s="1">
        <x:f>IF(G35*1.8&lt;=1,G35*1.8,1)</x:f>
        <x:v>0.38707200000000003</x:v>
      </x:c>
      <x:c r="H39" s="1">
        <x:f>ROUND(H35*2.8,2)</x:f>
        <x:v>0.5</x:v>
      </x:c>
      <x:c r="I39" s="1">
        <x:f t="shared" si="9"/>
        <x:v>0</x:v>
      </x:c>
      <x:c r="J39" s="1">
        <x:v>0</x:v>
      </x:c>
      <x:c r="K39" s="1">
        <x:v>15</x:v>
      </x:c>
      <x:c r="L39" s="1">
        <x:v>0</x:v>
      </x:c>
      <x:c r="O39" s="3">
        <x:f t="shared" si="7"/>
        <x:v>121330.08</x:v>
      </x:c>
      <x:c r="P39" s="3">
        <x:f t="shared" si="8"/>
        <x:v>191775.29999999999</x:v>
      </x:c>
      <x:c r="R39" s="3">
        <x:f t="shared" si="6"/>
        <x:v>101106.89999999999</x:v>
      </x:c>
      <x:c r="S39" s="3">
        <x:f t="shared" si="6"/>
        <x:v>189869.89999999999</x:v>
      </x:c>
      <x:c r="U39" s="5">
        <x:f>O39-$R$19</x:f>
        <x:v>20223.180000000008</x:v>
      </x:c>
      <x:c r="V39" s="5">
        <x:f>P39-$S$19</x:f>
        <x:v>1905.3999999999942</x:v>
      </x:c>
    </x:row>
    <x:row r="40" spans="1:22">
      <x:c r="A40" s="1">
        <x:f t="shared" si="10"/>
        <x:v>5302</x:v>
      </x:c>
      <x:c r="B40" s="1" t="str">
        <x:f>B24</x:f>
        <x:v>(함정) 활 타워</x:v>
      </x:c>
      <x:c r="C40" s="1">
        <x:v>1</x:v>
      </x:c>
      <x:c r="D40" s="1">
        <x:f>ROUND(D36*5,2)</x:f>
        <x:v>600</x:v>
      </x:c>
      <x:c r="E40" s="1">
        <x:f t="shared" si="11"/>
        <x:v>3.79</x:v>
      </x:c>
      <x:c r="F40" s="1">
        <x:f>ROUND(F36*3,2)</x:f>
        <x:v>0.54000000000000004</x:v>
      </x:c>
      <x:c r="G40" s="1">
        <x:v>0</x:v>
      </x:c>
      <x:c r="H40" s="1">
        <x:v>0</x:v>
      </x:c>
      <x:c r="I40" s="1">
        <x:f t="shared" si="9"/>
        <x:v>30</x:v>
      </x:c>
      <x:c r="J40" s="1">
        <x:v>0</x:v>
      </x:c>
      <x:c r="K40" s="1">
        <x:v>1</x:v>
      </x:c>
      <x:c r="L40" s="1">
        <x:f>L24*3</x:f>
        <x:v>4.5</x:v>
      </x:c>
      <x:c r="O40" s="3">
        <x:f t="shared" si="7"/>
        <x:v>19440</x:v>
      </x:c>
      <x:c r="P40" s="3">
        <x:f t="shared" si="8"/>
        <x:v>19440</x:v>
      </x:c>
      <x:c r="R40" s="3">
        <x:f t="shared" si="6"/>
        <x:v>23557.5</x:v>
      </x:c>
      <x:c r="S40" s="3">
        <x:f t="shared" si="6"/>
        <x:v>23557.5</x:v>
      </x:c>
      <x:c r="U40" s="6">
        <x:f>O40-$R$20</x:f>
        <x:v>-4117.5</x:v>
      </x:c>
      <x:c r="V40" s="6">
        <x:f>P40-$S$20</x:f>
        <x:v>-4117.5</x:v>
      </x:c>
    </x:row>
    <x:row r="41" spans="1:22">
      <x:c r="A41" s="1">
        <x:f t="shared" si="10"/>
        <x:v>5402</x:v>
      </x:c>
      <x:c r="B41" s="1" t="str">
        <x:f>B25</x:f>
        <x:v>(버프) 활 타워</x:v>
      </x:c>
      <x:c r="C41" s="1">
        <x:v>1</x:v>
      </x:c>
      <x:c r="D41" s="1">
        <x:v>0</x:v>
      </x:c>
      <x:c r="E41" s="1">
        <x:f>E37+3</x:f>
        <x:v>7</x:v>
      </x:c>
      <x:c r="F41" s="1">
        <x:v>1</x:v>
      </x:c>
      <x:c r="G41" s="1">
        <x:v>0</x:v>
      </x:c>
      <x:c r="H41" s="1">
        <x:v>0</x:v>
      </x:c>
      <x:c r="I41" s="1">
        <x:f t="shared" si="9"/>
        <x:v>1</x:v>
      </x:c>
      <x:c r="J41" s="1" t="e">
        <x:f>IF(#REF!="Buff",5,525)</x:f>
        <x:v>#REF!</x:v>
      </x:c>
      <x:c r="K41" s="1">
        <x:v>1</x:v>
      </x:c>
      <x:c r="L41" s="1">
        <x:v>0</x:v>
      </x:c>
      <x:c r="O41" s="3">
        <x:f t="shared" si="7"/>
        <x:v>0</x:v>
      </x:c>
      <x:c r="P41" s="3">
        <x:f t="shared" si="8"/>
        <x:v>0</x:v>
      </x:c>
      <x:c r="R41" s="3">
        <x:f t="shared" si="6"/>
        <x:v>75</x:v>
      </x:c>
      <x:c r="S41" s="3">
        <x:f t="shared" si="6"/>
        <x:v>75</x:v>
      </x:c>
      <x:c r="U41" s="7">
        <x:f>O41-$R$21</x:f>
        <x:v>-75</x:v>
      </x:c>
      <x:c r="V41" s="7">
        <x:f>P41-$S$21</x:f>
        <x:v>-75</x:v>
      </x:c>
    </x:row>
    <x:row r="42" spans="1:22">
      <x:c r="A42" s="1">
        <x:v>1103</x:v>
      </x:c>
      <x:c r="B42" s="1" t="s">
        <x:v>25</x:v>
      </x:c>
      <x:c r="C42" s="1">
        <x:v>1</x:v>
      </x:c>
      <x:c r="D42" s="1">
        <x:v>1.1000000000000001</x:v>
      </x:c>
      <x:c r="E42" s="1">
        <x:v>2</x:v>
      </x:c>
      <x:c r="F42" s="1">
        <x:v>0.14999999999999999</x:v>
      </x:c>
      <x:c r="G42" s="1">
        <x:v>0.05</x:v>
      </x:c>
      <x:c r="H42" s="1">
        <x:v>0.10000000000000001</x:v>
      </x:c>
      <x:c r="I42" s="1">
        <x:v>0.10000000000000001</x:v>
      </x:c>
      <x:c r="J42" s="1">
        <x:v>8.6957000000000004</x:v>
      </x:c>
      <x:c r="K42" s="1">
        <x:v>10</x:v>
      </x:c>
      <x:c r="L42" s="1">
        <x:v>2</x:v>
      </x:c>
      <x:c r="O42" s="3">
        <x:f>ROUND(60*(D42*F42),2)</x:f>
        <x:v>9.9000000000000004</x:v>
      </x:c>
      <x:c r="P42" s="3">
        <x:f>ROUND((O42*G42*(2+H42))+O42*(1-G42),2)</x:f>
        <x:v>10.44</x:v>
      </x:c>
      <x:c r="R42" s="3">
        <x:f t="shared" ref="R42:S61" si="12">R2</x:f>
        <x:v>25.539999999999999</x:v>
      </x:c>
      <x:c r="S42" s="3">
        <x:f t="shared" si="12"/>
        <x:v>27.010000000000002</x:v>
      </x:c>
      <x:c r="U42" s="4">
        <x:f>O42-$R$2</x:f>
        <x:v>-15.639999999999999</x:v>
      </x:c>
      <x:c r="V42" s="4">
        <x:f>P42-$S$2</x:f>
        <x:v>-16.57</x:v>
      </x:c>
    </x:row>
    <x:row r="43" spans="1:22">
      <x:c r="A43" s="1">
        <x:f>A42+100</x:f>
        <x:v>1203</x:v>
      </x:c>
      <x:c r="B43" s="1" t="s">
        <x:v>45</x:v>
      </x:c>
      <x:c r="C43" s="1">
        <x:v>1</x:v>
      </x:c>
      <x:c r="D43" s="1">
        <x:v>2.3999999999999999</x:v>
      </x:c>
      <x:c r="E43" s="1">
        <x:v>2</x:v>
      </x:c>
      <x:c r="F43" s="1">
        <x:v>0.28000000000000003</x:v>
      </x:c>
      <x:c r="G43" s="1">
        <x:v>0.070000000000000007</x:v>
      </x:c>
      <x:c r="H43" s="1">
        <x:v>0.089999999999999991</x:v>
      </x:c>
      <x:c r="I43" s="1">
        <x:v>0</x:v>
      </x:c>
      <x:c r="J43" s="1">
        <x:v>0</x:v>
      </x:c>
      <x:c r="K43" s="1">
        <x:v>15</x:v>
      </x:c>
      <x:c r="L43" s="1">
        <x:v>0</x:v>
      </x:c>
      <x:c r="O43" s="3">
        <x:f t="shared" ref="O43:O61" si="13">ROUND(60*(D43*F43),2)</x:f>
        <x:v>40.32</x:v>
      </x:c>
      <x:c r="P43" s="3">
        <x:f t="shared" ref="P43:P61" si="14">ROUND((O43*G43*(2+H43))+O43*(1-G43),2)</x:f>
        <x:v>43.399999999999999</x:v>
      </x:c>
      <x:c r="R43" s="3">
        <x:f t="shared" si="12"/>
        <x:v>33.960000000000001</x:v>
      </x:c>
      <x:c r="S43" s="3">
        <x:f t="shared" si="12"/>
        <x:v>36.509999999999998</x:v>
      </x:c>
      <x:c r="U43" s="5">
        <x:f>O43-$R$3</x:f>
        <x:v>6.3599999999999994</x:v>
      </x:c>
      <x:c r="V43" s="5">
        <x:f>P43-$S$3</x:f>
        <x:v>6.8900000000000006</x:v>
      </x:c>
    </x:row>
    <x:row r="44" spans="1:22">
      <x:c r="A44" s="1">
        <x:f>A42+200</x:f>
        <x:v>1303</x:v>
      </x:c>
      <x:c r="B44" s="1" t="s">
        <x:v>41</x:v>
      </x:c>
      <x:c r="C44" s="1">
        <x:v>1</x:v>
      </x:c>
      <x:c r="D44" s="1">
        <x:v>0</x:v>
      </x:c>
      <x:c r="E44" s="1">
        <x:v>2</x:v>
      </x:c>
      <x:c r="F44" s="1">
        <x:v>0.005</x:v>
      </x:c>
      <x:c r="G44" s="1">
        <x:v>0</x:v>
      </x:c>
      <x:c r="H44" s="1">
        <x:v>0</x:v>
      </x:c>
      <x:c r="I44" s="1">
        <x:v>5</x:v>
      </x:c>
      <x:c r="J44" s="1">
        <x:v>0</x:v>
      </x:c>
      <x:c r="K44" s="1">
        <x:v>1</x:v>
      </x:c>
      <x:c r="L44" s="1">
        <x:v>1.5</x:v>
      </x:c>
      <x:c r="O44" s="3">
        <x:f t="shared" si="13"/>
        <x:v>0</x:v>
      </x:c>
      <x:c r="P44" s="3">
        <x:f t="shared" si="14"/>
        <x:v>0</x:v>
      </x:c>
      <x:c r="R44" s="3">
        <x:f t="shared" si="12"/>
        <x:v>9.0800000000000001</x:v>
      </x:c>
      <x:c r="S44" s="3">
        <x:f t="shared" si="12"/>
        <x:v>9.0800000000000001</x:v>
      </x:c>
      <x:c r="U44" s="6">
        <x:f>O44-$R$4</x:f>
        <x:v>-9.0800000000000001</x:v>
      </x:c>
      <x:c r="V44" s="6">
        <x:f>P44-$S$4</x:f>
        <x:v>-9.0800000000000001</x:v>
      </x:c>
    </x:row>
    <x:row r="45" spans="1:22">
      <x:c r="A45" s="1">
        <x:f>A42+300</x:f>
        <x:v>1403</x:v>
      </x:c>
      <x:c r="B45" s="1" t="s">
        <x:v>36</x:v>
      </x:c>
      <x:c r="C45" s="1">
        <x:v>1</x:v>
      </x:c>
      <x:c r="D45" s="1">
        <x:v>0</x:v>
      </x:c>
      <x:c r="E45" s="1">
        <x:v>3</x:v>
      </x:c>
      <x:c r="F45" s="1">
        <x:v>1</x:v>
      </x:c>
      <x:c r="G45" s="1">
        <x:v>0</x:v>
      </x:c>
      <x:c r="H45" s="1">
        <x:v>0</x:v>
      </x:c>
      <x:c r="I45" s="1">
        <x:v>1</x:v>
      </x:c>
      <x:c r="J45" s="1" t="e">
        <x:f>IF(#REF!="Buff",1.2,8.6957)</x:f>
        <x:v>#REF!</x:v>
      </x:c>
      <x:c r="K45" s="1">
        <x:v>1</x:v>
      </x:c>
      <x:c r="L45" s="1">
        <x:v>0</x:v>
      </x:c>
      <x:c r="O45" s="3">
        <x:f t="shared" si="13"/>
        <x:v>0</x:v>
      </x:c>
      <x:c r="P45" s="3">
        <x:f t="shared" si="14"/>
        <x:v>0</x:v>
      </x:c>
      <x:c r="R45" s="3">
        <x:f t="shared" si="12"/>
        <x:v>7.5</x:v>
      </x:c>
      <x:c r="S45" s="3">
        <x:f t="shared" si="12"/>
        <x:v>7.5</x:v>
      </x:c>
      <x:c r="U45" s="7">
        <x:f>O45-$R$5</x:f>
        <x:v>-7.5</x:v>
      </x:c>
      <x:c r="V45" s="7">
        <x:f>P45-$S$5</x:f>
        <x:v>-7.5</x:v>
      </x:c>
    </x:row>
    <x:row r="46" spans="1:22">
      <x:c r="A46" s="1">
        <x:f>A42+1000</x:f>
        <x:v>2103</x:v>
      </x:c>
      <x:c r="B46" s="1" t="str">
        <x:f>B42</x:f>
        <x:v>(광역) 방패 타워</x:v>
      </x:c>
      <x:c r="C46" s="1">
        <x:v>1</x:v>
      </x:c>
      <x:c r="D46" s="1">
        <x:f>ROUND(D42*1.8,2)</x:f>
        <x:v>1.98</x:v>
      </x:c>
      <x:c r="E46" s="1">
        <x:f>ROUND(E42,2)</x:f>
        <x:v>2</x:v>
      </x:c>
      <x:c r="F46" s="1">
        <x:f>ROUND(F42*2.1,2)</x:f>
        <x:v>0.32000000000000001</x:v>
      </x:c>
      <x:c r="G46" s="1">
        <x:f>IF(G42*1.2&lt;=1,G42*1.2,1)</x:f>
        <x:v>0.059999999999999998</x:v>
      </x:c>
      <x:c r="H46" s="1">
        <x:f>ROUND(H42*1.2,2)</x:f>
        <x:v>0.12</x:v>
      </x:c>
      <x:c r="I46" s="1">
        <x:f>ROUND(I42*1.5,2)</x:f>
        <x:v>0.14999999999999999</x:v>
      </x:c>
      <x:c r="J46" s="1">
        <x:v>25</x:v>
      </x:c>
      <x:c r="K46" s="1">
        <x:v>10</x:v>
      </x:c>
      <x:c r="L46" s="1">
        <x:f>L42</x:f>
        <x:v>2</x:v>
      </x:c>
      <x:c r="O46" s="3">
        <x:f t="shared" si="13"/>
        <x:v>38.020000000000003</x:v>
      </x:c>
      <x:c r="P46" s="3">
        <x:f t="shared" si="14"/>
        <x:v>40.57</x:v>
      </x:c>
      <x:c r="R46" s="3">
        <x:f t="shared" si="12"/>
        <x:v>96.689999999999998</x:v>
      </x:c>
      <x:c r="S46" s="3">
        <x:f t="shared" si="12"/>
        <x:v>103.51000000000001</x:v>
      </x:c>
      <x:c r="U46" s="4">
        <x:f>O46-$R$6</x:f>
        <x:v>-58.669999999999995</x:v>
      </x:c>
      <x:c r="V46" s="4">
        <x:f>P46-$S$6</x:f>
        <x:v>-62.940000000000005</x:v>
      </x:c>
    </x:row>
    <x:row r="47" spans="1:22">
      <x:c r="A47" s="1">
        <x:f>A43+1000</x:f>
        <x:v>2203</x:v>
      </x:c>
      <x:c r="B47" s="1" t="str">
        <x:f>B43</x:f>
        <x:v>(단일) 방패 타워</x:v>
      </x:c>
      <x:c r="C47" s="1">
        <x:v>1</x:v>
      </x:c>
      <x:c r="D47" s="1">
        <x:f>ROUND(D43*1.7,2)</x:f>
        <x:v>4.0800000000000001</x:v>
      </x:c>
      <x:c r="E47" s="1">
        <x:f>ROUND(E43,2)</x:f>
        <x:v>2</x:v>
      </x:c>
      <x:c r="F47" s="1">
        <x:f>ROUND(F43*2.2,2)</x:f>
        <x:v>0.62</x:v>
      </x:c>
      <x:c r="G47" s="1">
        <x:f>IF(G43*1.2&lt;=1,G43*1.2,1)</x:f>
        <x:v>0.084000000000000008</x:v>
      </x:c>
      <x:c r="H47" s="1">
        <x:f>ROUND(H43*1.2,2)</x:f>
        <x:v>0.11</x:v>
      </x:c>
      <x:c r="I47" s="1">
        <x:f t="shared" ref="I47:I61" si="15">I43</x:f>
        <x:v>0</x:v>
      </x:c>
      <x:c r="J47" s="1">
        <x:v>0</x:v>
      </x:c>
      <x:c r="K47" s="1">
        <x:v>15</x:v>
      </x:c>
      <x:c r="L47" s="1">
        <x:v>0</x:v>
      </x:c>
      <x:c r="O47" s="3">
        <x:f t="shared" si="13"/>
        <x:v>151.78</x:v>
      </x:c>
      <x:c r="P47" s="3">
        <x:f t="shared" si="14"/>
        <x:v>165.93000000000001</x:v>
      </x:c>
      <x:c r="R47" s="3">
        <x:f t="shared" si="12"/>
        <x:v>127.56999999999999</x:v>
      </x:c>
      <x:c r="S47" s="3">
        <x:f t="shared" si="12"/>
        <x:v>139.41</x:v>
      </x:c>
      <x:c r="U47" s="5">
        <x:f>O47-$R$7</x:f>
        <x:v>24.210000000000008</x:v>
      </x:c>
      <x:c r="V47" s="5">
        <x:f>P47-$S$7</x:f>
        <x:v>26.52000000000001</x:v>
      </x:c>
    </x:row>
    <x:row r="48" spans="1:22">
      <x:c r="A48" s="1">
        <x:f t="shared" ref="A48:A61" si="16">A44+1000</x:f>
        <x:v>2303</x:v>
      </x:c>
      <x:c r="B48" s="1" t="str">
        <x:f>B44</x:f>
        <x:v>(함정) 방패 타워</x:v>
      </x:c>
      <x:c r="C48" s="1">
        <x:v>1</x:v>
      </x:c>
      <x:c r="D48" s="1">
        <x:f>ROUND(D44*2,2)</x:f>
        <x:v>0</x:v>
      </x:c>
      <x:c r="E48" s="1">
        <x:f>ROUND(E44,2)</x:f>
        <x:v>2</x:v>
      </x:c>
      <x:c r="F48" s="1">
        <x:f>ROUND(F44*2.1,2)</x:f>
        <x:v>0.010000000000000001</x:v>
      </x:c>
      <x:c r="G48" s="1">
        <x:v>0</x:v>
      </x:c>
      <x:c r="H48" s="1">
        <x:v>0</x:v>
      </x:c>
      <x:c r="I48" s="1">
        <x:f t="shared" si="15"/>
        <x:v>5</x:v>
      </x:c>
      <x:c r="J48" s="1">
        <x:v>0</x:v>
      </x:c>
      <x:c r="K48" s="1">
        <x:v>1</x:v>
      </x:c>
      <x:c r="L48" s="1">
        <x:f>L44</x:f>
        <x:v>1.5</x:v>
      </x:c>
      <x:c r="O48" s="3">
        <x:f t="shared" si="13"/>
        <x:v>0</x:v>
      </x:c>
      <x:c r="P48" s="3">
        <x:f t="shared" si="14"/>
        <x:v>0</x:v>
      </x:c>
      <x:c r="R48" s="3">
        <x:f t="shared" si="12"/>
        <x:v>38.280000000000001</x:v>
      </x:c>
      <x:c r="S48" s="3">
        <x:f t="shared" si="12"/>
        <x:v>38.280000000000001</x:v>
      </x:c>
      <x:c r="U48" s="6">
        <x:f>O48-$R$8</x:f>
        <x:v>-38.280000000000001</x:v>
      </x:c>
      <x:c r="V48" s="6">
        <x:f>P48-$S$8</x:f>
        <x:v>-38.280000000000001</x:v>
      </x:c>
    </x:row>
    <x:row r="49" spans="1:22">
      <x:c r="A49" s="1">
        <x:f t="shared" si="16"/>
        <x:v>2403</x:v>
      </x:c>
      <x:c r="B49" s="1" t="str">
        <x:f>B45</x:f>
        <x:v>(버프) 방패 타워</x:v>
      </x:c>
      <x:c r="C49" s="1">
        <x:v>1</x:v>
      </x:c>
      <x:c r="D49" s="1">
        <x:v>0</x:v>
      </x:c>
      <x:c r="E49" s="1">
        <x:f>E45+0</x:f>
        <x:v>3</x:v>
      </x:c>
      <x:c r="F49" s="1">
        <x:v>1</x:v>
      </x:c>
      <x:c r="G49" s="1">
        <x:v>0</x:v>
      </x:c>
      <x:c r="H49" s="1">
        <x:v>0</x:v>
      </x:c>
      <x:c r="I49" s="1">
        <x:f t="shared" si="15"/>
        <x:v>1</x:v>
      </x:c>
      <x:c r="J49" s="1" t="e">
        <x:f>IF(#REF!="Buff",1.4,25)</x:f>
        <x:v>#REF!</x:v>
      </x:c>
      <x:c r="K49" s="1">
        <x:v>1</x:v>
      </x:c>
      <x:c r="L49" s="1">
        <x:v>0</x:v>
      </x:c>
      <x:c r="O49" s="3">
        <x:f t="shared" si="13"/>
        <x:v>0</x:v>
      </x:c>
      <x:c r="P49" s="3">
        <x:f t="shared" si="14"/>
        <x:v>0</x:v>
      </x:c>
      <x:c r="R49" s="3">
        <x:f t="shared" si="12"/>
        <x:v>15</x:v>
      </x:c>
      <x:c r="S49" s="3">
        <x:f t="shared" si="12"/>
        <x:v>15</x:v>
      </x:c>
      <x:c r="U49" s="7">
        <x:f>O49-$R$9</x:f>
        <x:v>-15</x:v>
      </x:c>
      <x:c r="V49" s="7">
        <x:f>P49-$S$9</x:f>
        <x:v>-15</x:v>
      </x:c>
    </x:row>
    <x:row r="50" spans="1:22">
      <x:c r="A50" s="1">
        <x:f t="shared" si="16"/>
        <x:v>3103</x:v>
      </x:c>
      <x:c r="B50" s="1" t="str">
        <x:f>B42</x:f>
        <x:v>(광역) 방패 타워</x:v>
      </x:c>
      <x:c r="C50" s="1">
        <x:v>1</x:v>
      </x:c>
      <x:c r="D50" s="1">
        <x:f>ROUND(D46*2.25,2)</x:f>
        <x:v>4.46</x:v>
      </x:c>
      <x:c r="E50" s="1">
        <x:f>ROUND(E46,2)</x:f>
        <x:v>2</x:v>
      </x:c>
      <x:c r="F50" s="1">
        <x:f>ROUND(F46*2.2,2)</x:f>
        <x:v>0.69999999999999996</x:v>
      </x:c>
      <x:c r="G50" s="1">
        <x:f>IF(G46*1.4&lt;=1,G46*1.4,1)</x:f>
        <x:v>0.083999999999999986</x:v>
      </x:c>
      <x:c r="H50" s="1">
        <x:f>ROUND(H46*1.5,2)</x:f>
        <x:v>0.17999999999999999</x:v>
      </x:c>
      <x:c r="I50" s="1">
        <x:f>ROUND(I42*2,2)</x:f>
        <x:v>0.20000000000000001</x:v>
      </x:c>
      <x:c r="J50" s="1">
        <x:v>60</x:v>
      </x:c>
      <x:c r="K50" s="1">
        <x:v>10</x:v>
      </x:c>
      <x:c r="L50" s="1">
        <x:f>L42*1.5</x:f>
        <x:v>3</x:v>
      </x:c>
      <x:c r="O50" s="3">
        <x:f t="shared" si="13"/>
        <x:v>187.31999999999999</x:v>
      </x:c>
      <x:c r="P50" s="3">
        <x:f t="shared" si="14"/>
        <x:v>205.88999999999999</x:v>
      </x:c>
      <x:c r="R50" s="3">
        <x:f t="shared" si="12"/>
        <x:v>479.72000000000003</x:v>
      </x:c>
      <x:c r="S50" s="3">
        <x:f t="shared" si="12"/>
        <x:v>530</x:v>
      </x:c>
      <x:c r="U50" s="4">
        <x:f>O50-$R$10</x:f>
        <x:v>-292.40000000000003</x:v>
      </x:c>
      <x:c r="V50" s="4">
        <x:f>P50-$S$10</x:f>
        <x:v>-324.11000000000001</x:v>
      </x:c>
    </x:row>
    <x:row r="51" spans="1:22">
      <x:c r="A51" s="1">
        <x:f t="shared" si="16"/>
        <x:v>3203</x:v>
      </x:c>
      <x:c r="B51" s="1" t="str">
        <x:f>B43</x:f>
        <x:v>(단일) 방패 타워</x:v>
      </x:c>
      <x:c r="C51" s="1">
        <x:v>1</x:v>
      </x:c>
      <x:c r="D51" s="1">
        <x:f>ROUND(D47*2,2)</x:f>
        <x:v>8.1600000000000001</x:v>
      </x:c>
      <x:c r="E51" s="1">
        <x:f>ROUND(E47,2)</x:f>
        <x:v>2</x:v>
      </x:c>
      <x:c r="F51" s="1">
        <x:f>ROUND(F47*2.4,2)</x:f>
        <x:v>1.49</x:v>
      </x:c>
      <x:c r="G51" s="1">
        <x:f>IF(G47*1.4&lt;=1,G47*1.4,1)</x:f>
        <x:v>0.1176</x:v>
      </x:c>
      <x:c r="H51" s="1">
        <x:f>ROUND(H47*1.5,2)</x:f>
        <x:v>0.17000000000000001</x:v>
      </x:c>
      <x:c r="I51" s="1">
        <x:f t="shared" si="15"/>
        <x:v>0</x:v>
      </x:c>
      <x:c r="J51" s="1">
        <x:v>0</x:v>
      </x:c>
      <x:c r="K51" s="1">
        <x:v>15</x:v>
      </x:c>
      <x:c r="L51" s="1">
        <x:v>0</x:v>
      </x:c>
      <x:c r="O51" s="3">
        <x:f t="shared" si="13"/>
        <x:v>729.5</x:v>
      </x:c>
      <x:c r="P51" s="3">
        <x:f t="shared" si="14"/>
        <x:v>829.87</x:v>
      </x:c>
      <x:c r="R51" s="3">
        <x:f t="shared" si="12"/>
        <x:v>612.57000000000005</x:v>
      </x:c>
      <x:c r="S51" s="3">
        <x:f t="shared" si="12"/>
        <x:v>699.50999999999999</x:v>
      </x:c>
      <x:c r="U51" s="5">
        <x:f>O51-$R$11</x:f>
        <x:v>116.92999999999995</x:v>
      </x:c>
      <x:c r="V51" s="5">
        <x:f>P51-$S$11</x:f>
        <x:v>130.36000000000001</x:v>
      </x:c>
    </x:row>
    <x:row r="52" spans="1:22">
      <x:c r="A52" s="1">
        <x:f t="shared" si="16"/>
        <x:v>3303</x:v>
      </x:c>
      <x:c r="B52" s="1" t="str">
        <x:f>B44</x:f>
        <x:v>(함정) 방패 타워</x:v>
      </x:c>
      <x:c r="C52" s="1">
        <x:v>1</x:v>
      </x:c>
      <x:c r="D52" s="1">
        <x:f>ROUND(D48*2.5,2)</x:f>
        <x:v>0</x:v>
      </x:c>
      <x:c r="E52" s="1">
        <x:f>ROUND(E48,2)</x:f>
        <x:v>2</x:v>
      </x:c>
      <x:c r="F52" s="1">
        <x:f>ROUND(F48*2.2,2)</x:f>
        <x:v>0.020000000000000001</x:v>
      </x:c>
      <x:c r="G52" s="1">
        <x:v>0</x:v>
      </x:c>
      <x:c r="H52" s="1">
        <x:v>0</x:v>
      </x:c>
      <x:c r="I52" s="1">
        <x:f t="shared" si="15"/>
        <x:v>5</x:v>
      </x:c>
      <x:c r="J52" s="1">
        <x:v>0</x:v>
      </x:c>
      <x:c r="K52" s="1">
        <x:v>1</x:v>
      </x:c>
      <x:c r="L52" s="1">
        <x:f>L44*1.5</x:f>
        <x:v>2.25</x:v>
      </x:c>
      <x:c r="O52" s="3">
        <x:f t="shared" si="13"/>
        <x:v>0</x:v>
      </x:c>
      <x:c r="P52" s="3">
        <x:f t="shared" si="14"/>
        <x:v>0</x:v>
      </x:c>
      <x:c r="R52" s="3">
        <x:f t="shared" si="12"/>
        <x:v>208.80000000000001</x:v>
      </x:c>
      <x:c r="S52" s="3">
        <x:f t="shared" si="12"/>
        <x:v>208.80000000000001</x:v>
      </x:c>
      <x:c r="U52" s="6">
        <x:f>O52-$R$12</x:f>
        <x:v>-208.80000000000001</x:v>
      </x:c>
      <x:c r="V52" s="6">
        <x:f>P52-$S$12</x:f>
        <x:v>-208.80000000000001</x:v>
      </x:c>
    </x:row>
    <x:row r="53" spans="1:22">
      <x:c r="A53" s="1">
        <x:f t="shared" si="16"/>
        <x:v>3403</x:v>
      </x:c>
      <x:c r="B53" s="1" t="str">
        <x:f>B45</x:f>
        <x:v>(버프) 방패 타워</x:v>
      </x:c>
      <x:c r="C53" s="1">
        <x:v>1</x:v>
      </x:c>
      <x:c r="D53" s="1">
        <x:v>0</x:v>
      </x:c>
      <x:c r="E53" s="1">
        <x:f>E49+1</x:f>
        <x:v>4</x:v>
      </x:c>
      <x:c r="F53" s="1">
        <x:v>1</x:v>
      </x:c>
      <x:c r="G53" s="1">
        <x:v>0</x:v>
      </x:c>
      <x:c r="H53" s="1">
        <x:v>0</x:v>
      </x:c>
      <x:c r="I53" s="1">
        <x:f t="shared" si="15"/>
        <x:v>1</x:v>
      </x:c>
      <x:c r="J53" s="1" t="e">
        <x:f>IF(#REF!="Buff",2,60)</x:f>
        <x:v>#REF!</x:v>
      </x:c>
      <x:c r="K53" s="1">
        <x:v>1</x:v>
      </x:c>
      <x:c r="L53" s="1">
        <x:v>0</x:v>
      </x:c>
      <x:c r="O53" s="3">
        <x:f t="shared" si="13"/>
        <x:v>0</x:v>
      </x:c>
      <x:c r="P53" s="3">
        <x:f t="shared" si="14"/>
        <x:v>0</x:v>
      </x:c>
      <x:c r="R53" s="3">
        <x:f t="shared" si="12"/>
        <x:v>22.5</x:v>
      </x:c>
      <x:c r="S53" s="3">
        <x:f t="shared" si="12"/>
        <x:v>22.5</x:v>
      </x:c>
      <x:c r="U53" s="7">
        <x:f>O53-$R$13</x:f>
        <x:v>-22.5</x:v>
      </x:c>
      <x:c r="V53" s="7">
        <x:f>P53-$S$13</x:f>
        <x:v>-22.5</x:v>
      </x:c>
    </x:row>
    <x:row r="54" spans="1:22">
      <x:c r="A54" s="1">
        <x:f t="shared" si="16"/>
        <x:v>4103</x:v>
      </x:c>
      <x:c r="B54" s="1" t="str">
        <x:f>B42</x:f>
        <x:v>(광역) 방패 타워</x:v>
      </x:c>
      <x:c r="C54" s="1">
        <x:v>1</x:v>
      </x:c>
      <x:c r="D54" s="1">
        <x:f>ROUND(D50*3,2)</x:f>
        <x:v>13.380000000000001</x:v>
      </x:c>
      <x:c r="E54" s="1">
        <x:f>ROUND(E50*1.1,2)</x:f>
        <x:v>2.2000000000000002</x:v>
      </x:c>
      <x:c r="F54" s="1">
        <x:f>ROUND(F50*2.5,2)</x:f>
        <x:v>1.75</x:v>
      </x:c>
      <x:c r="G54" s="1">
        <x:f>IF(G50*1.6&lt;=1,G50*1.6,1)</x:f>
        <x:v>0.13439999999999999</x:v>
      </x:c>
      <x:c r="H54" s="1">
        <x:f>ROUND(H50*2,2)</x:f>
        <x:v>0.35999999999999999</x:v>
      </x:c>
      <x:c r="I54" s="1">
        <x:f>ROUND(I42*3,2)</x:f>
        <x:v>0.29999999999999999</x:v>
      </x:c>
      <x:c r="J54" s="1">
        <x:v>150</x:v>
      </x:c>
      <x:c r="K54" s="1">
        <x:v>10</x:v>
      </x:c>
      <x:c r="L54" s="1">
        <x:f>L42*2</x:f>
        <x:v>4</x:v>
      </x:c>
      <x:c r="O54" s="3">
        <x:f t="shared" si="13"/>
        <x:v>1404.9000000000001</x:v>
      </x:c>
      <x:c r="P54" s="3">
        <x:f t="shared" si="14"/>
        <x:v>1661.6900000000001</x:v>
      </x:c>
      <x:c r="R54" s="3">
        <x:f t="shared" si="12"/>
        <x:v>3601.5900000000001</x:v>
      </x:c>
      <x:c r="S54" s="3">
        <x:f t="shared" si="12"/>
        <x:v>4306.1000000000004</x:v>
      </x:c>
      <x:c r="U54" s="4">
        <x:f>O54-$R$14</x:f>
        <x:v>-2196.6900000000001</x:v>
      </x:c>
      <x:c r="V54" s="4">
        <x:f>P54-$S$14</x:f>
        <x:v>-2644.4100000000003</x:v>
      </x:c>
    </x:row>
    <x:row r="55" spans="1:22">
      <x:c r="A55" s="1">
        <x:f t="shared" si="16"/>
        <x:v>4203</x:v>
      </x:c>
      <x:c r="B55" s="1" t="str">
        <x:f>B43</x:f>
        <x:v>(단일) 방패 타워</x:v>
      </x:c>
      <x:c r="C55" s="1">
        <x:v>1</x:v>
      </x:c>
      <x:c r="D55" s="1">
        <x:f>ROUND(D51*3,2)</x:f>
        <x:v>24.48</x:v>
      </x:c>
      <x:c r="E55" s="1">
        <x:f>ROUND(E51*1.1,2)</x:f>
        <x:v>2.2000000000000002</x:v>
      </x:c>
      <x:c r="F55" s="1">
        <x:f>ROUND(F51*2.75,2)</x:f>
        <x:v>4.0999999999999996</x:v>
      </x:c>
      <x:c r="G55" s="1">
        <x:f>IF(G51*1.6&lt;=1,G51*1.6,1)</x:f>
        <x:v>0.18815999999999999</x:v>
      </x:c>
      <x:c r="H55" s="1">
        <x:f>ROUND(H51*2,2)</x:f>
        <x:v>0.34000000000000002</x:v>
      </x:c>
      <x:c r="I55" s="1">
        <x:f t="shared" si="15"/>
        <x:v>0</x:v>
      </x:c>
      <x:c r="J55" s="1">
        <x:v>0</x:v>
      </x:c>
      <x:c r="K55" s="1">
        <x:v>15</x:v>
      </x:c>
      <x:c r="L55" s="1">
        <x:v>0</x:v>
      </x:c>
      <x:c r="O55" s="3">
        <x:f t="shared" si="13"/>
        <x:v>6022.0799999999999</x:v>
      </x:c>
      <x:c r="P55" s="3">
        <x:f t="shared" si="14"/>
        <x:v>7540.4499999999998</x:v>
      </x:c>
      <x:c r="R55" s="3">
        <x:f t="shared" si="12"/>
        <x:v>5055.3500000000004</x:v>
      </x:c>
      <x:c r="S55" s="3">
        <x:f t="shared" si="12"/>
        <x:v>6489.9499999999998</x:v>
      </x:c>
      <x:c r="U55" s="5">
        <x:f>O55-$R$15</x:f>
        <x:v>966.72999999999956</x:v>
      </x:c>
      <x:c r="V55" s="5">
        <x:f>P55-$S$15</x:f>
        <x:v>1050.5</x:v>
      </x:c>
    </x:row>
    <x:row r="56" spans="1:22">
      <x:c r="A56" s="1">
        <x:f t="shared" si="16"/>
        <x:v>4303</x:v>
      </x:c>
      <x:c r="B56" s="1" t="str">
        <x:f>B44</x:f>
        <x:v>(함정) 방패 타워</x:v>
      </x:c>
      <x:c r="C56" s="1">
        <x:v>1</x:v>
      </x:c>
      <x:c r="D56" s="1">
        <x:f>ROUND(D52*3,2)</x:f>
        <x:v>0</x:v>
      </x:c>
      <x:c r="E56" s="1">
        <x:f>ROUND(E52*1.1,2)</x:f>
        <x:v>2.2000000000000002</x:v>
      </x:c>
      <x:c r="F56" s="1">
        <x:f>ROUND(F52*2.5,2)</x:f>
        <x:v>0.05</x:v>
      </x:c>
      <x:c r="G56" s="1">
        <x:v>0</x:v>
      </x:c>
      <x:c r="H56" s="1">
        <x:v>0</x:v>
      </x:c>
      <x:c r="I56" s="1">
        <x:f t="shared" si="15"/>
        <x:v>5</x:v>
      </x:c>
      <x:c r="J56" s="1">
        <x:v>0</x:v>
      </x:c>
      <x:c r="K56" s="1">
        <x:v>1</x:v>
      </x:c>
      <x:c r="L56" s="1">
        <x:f>L44*2</x:f>
        <x:v>3</x:v>
      </x:c>
      <x:c r="O56" s="3">
        <x:f t="shared" si="13"/>
        <x:v>0</x:v>
      </x:c>
      <x:c r="P56" s="3">
        <x:f t="shared" si="14"/>
        <x:v>0</x:v>
      </x:c>
      <x:c r="R56" s="3">
        <x:f t="shared" si="12"/>
        <x:v>1570.5</x:v>
      </x:c>
      <x:c r="S56" s="3">
        <x:f t="shared" si="12"/>
        <x:v>1570.5</x:v>
      </x:c>
      <x:c r="U56" s="6">
        <x:f>O56-$R$16</x:f>
        <x:v>-1570.5</x:v>
      </x:c>
      <x:c r="V56" s="6">
        <x:f>P56-$S$16</x:f>
        <x:v>-1570.5</x:v>
      </x:c>
    </x:row>
    <x:row r="57" spans="1:22">
      <x:c r="A57" s="1">
        <x:f t="shared" si="16"/>
        <x:v>4403</x:v>
      </x:c>
      <x:c r="B57" s="1" t="str">
        <x:f>B45</x:f>
        <x:v>(버프) 방패 타워</x:v>
      </x:c>
      <x:c r="C57" s="1">
        <x:v>1</x:v>
      </x:c>
      <x:c r="D57" s="1">
        <x:v>0</x:v>
      </x:c>
      <x:c r="E57" s="1">
        <x:f>E53+2</x:f>
        <x:v>6</x:v>
      </x:c>
      <x:c r="F57" s="1">
        <x:v>1</x:v>
      </x:c>
      <x:c r="G57" s="1">
        <x:v>0</x:v>
      </x:c>
      <x:c r="H57" s="1">
        <x:v>0</x:v>
      </x:c>
      <x:c r="I57" s="1">
        <x:f t="shared" si="15"/>
        <x:v>1</x:v>
      </x:c>
      <x:c r="J57" s="1" t="e">
        <x:f>IF(#REF!="Buff",3,150)</x:f>
        <x:v>#REF!</x:v>
      </x:c>
      <x:c r="K57" s="1">
        <x:v>1</x:v>
      </x:c>
      <x:c r="L57" s="1">
        <x:v>0</x:v>
      </x:c>
      <x:c r="O57" s="3">
        <x:f t="shared" si="13"/>
        <x:v>0</x:v>
      </x:c>
      <x:c r="P57" s="3">
        <x:f t="shared" si="14"/>
        <x:v>0</x:v>
      </x:c>
      <x:c r="R57" s="3">
        <x:f t="shared" si="12"/>
        <x:v>37.5</x:v>
      </x:c>
      <x:c r="S57" s="3">
        <x:f t="shared" si="12"/>
        <x:v>37.5</x:v>
      </x:c>
      <x:c r="U57" s="7">
        <x:f>O57-$R$17</x:f>
        <x:v>-37.5</x:v>
      </x:c>
      <x:c r="V57" s="7">
        <x:f>P57-$S$17</x:f>
        <x:v>-37.5</x:v>
      </x:c>
    </x:row>
    <x:row r="58" spans="1:22">
      <x:c r="A58" s="1">
        <x:f t="shared" si="16"/>
        <x:v>5103</x:v>
      </x:c>
      <x:c r="B58" s="1" t="str">
        <x:f>B42</x:f>
        <x:v>(광역) 방패 타워</x:v>
      </x:c>
      <x:c r="C58" s="1">
        <x:v>1</x:v>
      </x:c>
      <x:c r="D58" s="1">
        <x:f>ROUND(D54*4.2,2)</x:f>
        <x:v>56.200000000000003</x:v>
      </x:c>
      <x:c r="E58" s="1">
        <x:f>ROUND(E54*1.25,2)</x:f>
        <x:v>2.75</x:v>
      </x:c>
      <x:c r="F58" s="1">
        <x:f>ROUND(F54*3,2)</x:f>
        <x:v>5.25</x:v>
      </x:c>
      <x:c r="G58" s="1">
        <x:f>IF(G54*1.8&lt;=1,G54*1.8,1)</x:f>
        <x:v>0.24192</x:v>
      </x:c>
      <x:c r="H58" s="1">
        <x:f>ROUND(H54*2.8,2)</x:f>
        <x:v>1.01</x:v>
      </x:c>
      <x:c r="I58" s="1">
        <x:f>ROUND(I42*5,2)</x:f>
        <x:v>0.5</x:v>
      </x:c>
      <x:c r="J58" s="1">
        <x:v>525</x:v>
      </x:c>
      <x:c r="K58" s="1">
        <x:v>10</x:v>
      </x:c>
      <x:c r="L58" s="1">
        <x:f>L42*3</x:f>
        <x:v>6</x:v>
      </x:c>
      <x:c r="O58" s="3">
        <x:f t="shared" si="13"/>
        <x:v>17703</x:v>
      </x:c>
      <x:c r="P58" s="3">
        <x:f t="shared" si="14"/>
        <x:v>26311.25</x:v>
      </x:c>
      <x:c r="R58" s="3">
        <x:f t="shared" si="12"/>
        <x:v>45381.339999999997</x:v>
      </x:c>
      <x:c r="S58" s="3">
        <x:f t="shared" si="12"/>
        <x:v>69583.229999999996</x:v>
      </x:c>
      <x:c r="U58" s="4">
        <x:f>O58-$R$18</x:f>
        <x:v>-27678.339999999997</x:v>
      </x:c>
      <x:c r="V58" s="4">
        <x:f>P58-$S$18</x:f>
        <x:v>-43271.979999999996</x:v>
      </x:c>
    </x:row>
    <x:row r="59" spans="1:22">
      <x:c r="A59" s="1">
        <x:f t="shared" si="16"/>
        <x:v>5203</x:v>
      </x:c>
      <x:c r="B59" s="1" t="str">
        <x:f>B43</x:f>
        <x:v>(단일) 방패 타워</x:v>
      </x:c>
      <x:c r="C59" s="1">
        <x:v>1</x:v>
      </x:c>
      <x:c r="D59" s="1">
        <x:f>ROUND(D55*5,2)</x:f>
        <x:v>122.40000000000001</x:v>
      </x:c>
      <x:c r="E59" s="1">
        <x:f t="shared" ref="E59:E60" si="17">ROUND(E55*1.25,2)</x:f>
        <x:v>2.75</x:v>
      </x:c>
      <x:c r="F59" s="1">
        <x:f>ROUND(F55*4,2)</x:f>
        <x:v>16.399999999999999</x:v>
      </x:c>
      <x:c r="G59" s="1">
        <x:f>IF(G55*1.8&lt;=1,G55*1.8,1)</x:f>
        <x:v>0.33868799999999999</x:v>
      </x:c>
      <x:c r="H59" s="1">
        <x:f>ROUND(H55*2.8,2)</x:f>
        <x:v>0.94999999999999996</x:v>
      </x:c>
      <x:c r="I59" s="1">
        <x:f t="shared" si="15"/>
        <x:v>0</x:v>
      </x:c>
      <x:c r="J59" s="1">
        <x:v>0</x:v>
      </x:c>
      <x:c r="K59" s="1">
        <x:v>15</x:v>
      </x:c>
      <x:c r="L59" s="1">
        <x:v>0</x:v>
      </x:c>
      <x:c r="O59" s="3">
        <x:f t="shared" si="13"/>
        <x:v>120441.60000000001</x:v>
      </x:c>
      <x:c r="P59" s="3">
        <x:f t="shared" si="14"/>
        <x:v>199986.23999999999</x:v>
      </x:c>
      <x:c r="R59" s="3">
        <x:f t="shared" si="12"/>
        <x:v>101106.89999999999</x:v>
      </x:c>
      <x:c r="S59" s="3">
        <x:f t="shared" si="12"/>
        <x:v>189869.89999999999</x:v>
      </x:c>
      <x:c r="U59" s="5">
        <x:f>O59-$R$19</x:f>
        <x:v>19334.700000000012</x:v>
      </x:c>
      <x:c r="V59" s="5">
        <x:f>P59-$S$19</x:f>
        <x:v>10116.339999999997</x:v>
      </x:c>
    </x:row>
    <x:row r="60" spans="1:22">
      <x:c r="A60" s="1">
        <x:f t="shared" si="16"/>
        <x:v>5303</x:v>
      </x:c>
      <x:c r="B60" s="1" t="str">
        <x:f>B44</x:f>
        <x:v>(함정) 방패 타워</x:v>
      </x:c>
      <x:c r="C60" s="1">
        <x:v>1</x:v>
      </x:c>
      <x:c r="D60" s="1">
        <x:f>ROUND(D56*5,2)</x:f>
        <x:v>0</x:v>
      </x:c>
      <x:c r="E60" s="1">
        <x:f t="shared" si="17"/>
        <x:v>2.75</x:v>
      </x:c>
      <x:c r="F60" s="1">
        <x:f>ROUND(F56*3,2)</x:f>
        <x:v>0.14999999999999999</x:v>
      </x:c>
      <x:c r="G60" s="1">
        <x:v>0</x:v>
      </x:c>
      <x:c r="H60" s="1">
        <x:v>0</x:v>
      </x:c>
      <x:c r="I60" s="1">
        <x:f t="shared" si="15"/>
        <x:v>5</x:v>
      </x:c>
      <x:c r="J60" s="1">
        <x:v>0</x:v>
      </x:c>
      <x:c r="K60" s="1">
        <x:v>1</x:v>
      </x:c>
      <x:c r="L60" s="1">
        <x:f>L44*3</x:f>
        <x:v>4.5</x:v>
      </x:c>
      <x:c r="O60" s="3">
        <x:f t="shared" si="13"/>
        <x:v>0</x:v>
      </x:c>
      <x:c r="P60" s="3">
        <x:f t="shared" si="14"/>
        <x:v>0</x:v>
      </x:c>
      <x:c r="R60" s="3">
        <x:f t="shared" si="12"/>
        <x:v>23557.5</x:v>
      </x:c>
      <x:c r="S60" s="3">
        <x:f t="shared" si="12"/>
        <x:v>23557.5</x:v>
      </x:c>
      <x:c r="U60" s="6">
        <x:f>O60-$R$20</x:f>
        <x:v>-23557.5</x:v>
      </x:c>
      <x:c r="V60" s="6">
        <x:f>P60-$S$20</x:f>
        <x:v>-23557.5</x:v>
      </x:c>
    </x:row>
    <x:row r="61" spans="1:22">
      <x:c r="A61" s="1">
        <x:f t="shared" si="16"/>
        <x:v>5403</x:v>
      </x:c>
      <x:c r="B61" s="1" t="str">
        <x:f>B45</x:f>
        <x:v>(버프) 방패 타워</x:v>
      </x:c>
      <x:c r="C61" s="1">
        <x:v>1</x:v>
      </x:c>
      <x:c r="D61" s="1">
        <x:v>0</x:v>
      </x:c>
      <x:c r="E61" s="1">
        <x:f>E57+3</x:f>
        <x:v>9</x:v>
      </x:c>
      <x:c r="F61" s="1">
        <x:v>1</x:v>
      </x:c>
      <x:c r="G61" s="1">
        <x:v>0</x:v>
      </x:c>
      <x:c r="H61" s="1">
        <x:v>0</x:v>
      </x:c>
      <x:c r="I61" s="1">
        <x:f t="shared" si="15"/>
        <x:v>1</x:v>
      </x:c>
      <x:c r="J61" s="1" t="e">
        <x:f>IF(#REF!="Buff",5,525)</x:f>
        <x:v>#REF!</x:v>
      </x:c>
      <x:c r="K61" s="1">
        <x:v>1</x:v>
      </x:c>
      <x:c r="L61" s="1">
        <x:v>0</x:v>
      </x:c>
      <x:c r="O61" s="3">
        <x:f t="shared" si="13"/>
        <x:v>0</x:v>
      </x:c>
      <x:c r="P61" s="3">
        <x:f t="shared" si="14"/>
        <x:v>0</x:v>
      </x:c>
      <x:c r="R61" s="3">
        <x:f t="shared" si="12"/>
        <x:v>75</x:v>
      </x:c>
      <x:c r="S61" s="3">
        <x:f t="shared" si="12"/>
        <x:v>75</x:v>
      </x:c>
      <x:c r="U61" s="7">
        <x:f>O61-$R$21</x:f>
        <x:v>-75</x:v>
      </x:c>
      <x:c r="V61" s="7">
        <x:f>P61-$S$21</x:f>
        <x:v>-75</x:v>
      </x:c>
    </x:row>
    <x:row r="62" spans="1:22">
      <x:c r="A62" s="1">
        <x:v>1104</x:v>
      </x:c>
      <x:c r="B62" s="1" t="s">
        <x:v>26</x:v>
      </x:c>
      <x:c r="C62" s="1">
        <x:v>1</x:v>
      </x:c>
      <x:c r="D62" s="1">
        <x:v>1.76</x:v>
      </x:c>
      <x:c r="E62" s="1">
        <x:v>2.25</x:v>
      </x:c>
      <x:c r="F62" s="1">
        <x:v>0.29999999999999999</x:v>
      </x:c>
      <x:c r="G62" s="1">
        <x:v>0.105</x:v>
      </x:c>
      <x:c r="H62" s="1">
        <x:v>0.035000000000000003</x:v>
      </x:c>
      <x:c r="I62" s="1">
        <x:v>0.5</x:v>
      </x:c>
      <x:c r="J62" s="1">
        <x:v>8.6957000000000004</x:v>
      </x:c>
      <x:c r="K62" s="1">
        <x:v>10</x:v>
      </x:c>
      <x:c r="L62" s="1">
        <x:v>1.5</x:v>
      </x:c>
      <x:c r="O62" s="3">
        <x:f>ROUND(60*(D62*F62),2)</x:f>
        <x:v>31.68</x:v>
      </x:c>
      <x:c r="P62" s="3">
        <x:f>ROUND((O62*G62*(2+H62))+O62*(1-G62),2)</x:f>
        <x:v>35.119999999999997</x:v>
      </x:c>
      <x:c r="R62" s="3">
        <x:f t="shared" ref="R62:S81" si="18">R2</x:f>
        <x:v>25.539999999999999</x:v>
      </x:c>
      <x:c r="S62" s="3">
        <x:f t="shared" si="18"/>
        <x:v>27.010000000000002</x:v>
      </x:c>
      <x:c r="U62" s="4">
        <x:f>O62-$R$2</x:f>
        <x:v>6.1400000000000006</x:v>
      </x:c>
      <x:c r="V62" s="4">
        <x:f>P62-$S$2</x:f>
        <x:v>8.1099999999999959</x:v>
      </x:c>
    </x:row>
    <x:row r="63" spans="1:22">
      <x:c r="A63" s="1">
        <x:f>A62+100</x:f>
        <x:v>1204</x:v>
      </x:c>
      <x:c r="B63" s="1" t="s">
        <x:v>38</x:v>
      </x:c>
      <x:c r="C63" s="1">
        <x:v>1</x:v>
      </x:c>
      <x:c r="D63" s="1">
        <x:v>1.3500000000000001</x:v>
      </x:c>
      <x:c r="E63" s="1">
        <x:v>2.25</x:v>
      </x:c>
      <x:c r="F63" s="1">
        <x:v>0.5</x:v>
      </x:c>
      <x:c r="G63" s="1">
        <x:v>0.12</x:v>
      </x:c>
      <x:c r="H63" s="1">
        <x:v>0.025</x:v>
      </x:c>
      <x:c r="I63" s="1">
        <x:v>0</x:v>
      </x:c>
      <x:c r="J63" s="1">
        <x:v>0</x:v>
      </x:c>
      <x:c r="K63" s="1">
        <x:v>15</x:v>
      </x:c>
      <x:c r="L63" s="1">
        <x:v>0</x:v>
      </x:c>
      <x:c r="O63" s="3">
        <x:f t="shared" ref="O63:O81" si="19">ROUND(60*(D63*F63),2)</x:f>
        <x:v>40.5</x:v>
      </x:c>
      <x:c r="P63" s="3">
        <x:f t="shared" ref="P63:P81" si="20">ROUND((O63*G63*(2+H63))+O63*(1-G63),2)</x:f>
        <x:v>45.479999999999997</x:v>
      </x:c>
      <x:c r="R63" s="3">
        <x:f t="shared" si="18"/>
        <x:v>33.960000000000001</x:v>
      </x:c>
      <x:c r="S63" s="3">
        <x:f t="shared" si="18"/>
        <x:v>36.509999999999998</x:v>
      </x:c>
      <x:c r="U63" s="5">
        <x:f>O63-$R$3</x:f>
        <x:v>6.5399999999999991</x:v>
      </x:c>
      <x:c r="V63" s="5">
        <x:f>P63-$S$3</x:f>
        <x:v>8.9699999999999989</x:v>
      </x:c>
    </x:row>
    <x:row r="64" spans="1:22">
      <x:c r="A64" s="1">
        <x:f>A62+200</x:f>
        <x:v>1304</x:v>
      </x:c>
      <x:c r="B64" s="1" t="s">
        <x:v>28</x:v>
      </x:c>
      <x:c r="C64" s="1">
        <x:v>1</x:v>
      </x:c>
      <x:c r="D64" s="1">
        <x:v>4</x:v>
      </x:c>
      <x:c r="E64" s="1">
        <x:v>2.25</x:v>
      </x:c>
      <x:c r="F64" s="1">
        <x:v>0.044999999999999996</x:v>
      </x:c>
      <x:c r="G64" s="1">
        <x:v>0</x:v>
      </x:c>
      <x:c r="H64" s="1">
        <x:v>0</x:v>
      </x:c>
      <x:c r="I64" s="1">
        <x:v>30</x:v>
      </x:c>
      <x:c r="J64" s="1">
        <x:v>0</x:v>
      </x:c>
      <x:c r="K64" s="1">
        <x:v>1</x:v>
      </x:c>
      <x:c r="L64" s="1">
        <x:v>1.5</x:v>
      </x:c>
      <x:c r="O64" s="3">
        <x:f t="shared" si="19"/>
        <x:v>10.800000000000001</x:v>
      </x:c>
      <x:c r="P64" s="3">
        <x:f t="shared" si="20"/>
        <x:v>10.800000000000001</x:v>
      </x:c>
      <x:c r="R64" s="3">
        <x:f t="shared" si="18"/>
        <x:v>9.0800000000000001</x:v>
      </x:c>
      <x:c r="S64" s="3">
        <x:f t="shared" si="18"/>
        <x:v>9.0800000000000001</x:v>
      </x:c>
      <x:c r="U64" s="6">
        <x:f>O64-$R$4</x:f>
        <x:v>1.7200000000000006</x:v>
      </x:c>
      <x:c r="V64" s="6">
        <x:f>P64-$S$4</x:f>
        <x:v>1.7200000000000006</x:v>
      </x:c>
    </x:row>
    <x:row r="65" spans="1:22">
      <x:c r="A65" s="1">
        <x:f>A62+300</x:f>
        <x:v>1404</x:v>
      </x:c>
      <x:c r="B65" s="1" t="s">
        <x:v>42</x:v>
      </x:c>
      <x:c r="C65" s="1">
        <x:v>1</x:v>
      </x:c>
      <x:c r="D65" s="1">
        <x:v>0</x:v>
      </x:c>
      <x:c r="E65" s="1">
        <x:v>1</x:v>
      </x:c>
      <x:c r="F65" s="1">
        <x:v>1</x:v>
      </x:c>
      <x:c r="G65" s="1">
        <x:v>0</x:v>
      </x:c>
      <x:c r="H65" s="1">
        <x:v>0</x:v>
      </x:c>
      <x:c r="I65" s="1">
        <x:v>1</x:v>
      </x:c>
      <x:c r="J65" s="1" t="e">
        <x:f>IF(#REF!="Buff",1.2,8.6957)</x:f>
        <x:v>#REF!</x:v>
      </x:c>
      <x:c r="K65" s="1">
        <x:v>1</x:v>
      </x:c>
      <x:c r="L65" s="1">
        <x:v>0</x:v>
      </x:c>
      <x:c r="O65" s="3">
        <x:f t="shared" si="19"/>
        <x:v>0</x:v>
      </x:c>
      <x:c r="P65" s="3">
        <x:f t="shared" si="20"/>
        <x:v>0</x:v>
      </x:c>
      <x:c r="R65" s="3">
        <x:f t="shared" si="18"/>
        <x:v>7.5</x:v>
      </x:c>
      <x:c r="S65" s="3">
        <x:f t="shared" si="18"/>
        <x:v>7.5</x:v>
      </x:c>
      <x:c r="U65" s="7">
        <x:f>O65-$R$5</x:f>
        <x:v>-7.5</x:v>
      </x:c>
      <x:c r="V65" s="7">
        <x:f>P65-$S$5</x:f>
        <x:v>-7.5</x:v>
      </x:c>
    </x:row>
    <x:row r="66" spans="1:22">
      <x:c r="A66" s="1">
        <x:f>A62+1000</x:f>
        <x:v>2104</x:v>
      </x:c>
      <x:c r="B66" s="1" t="str">
        <x:f>B62</x:f>
        <x:v>(광역) 창 타워</x:v>
      </x:c>
      <x:c r="C66" s="1">
        <x:v>1</x:v>
      </x:c>
      <x:c r="D66" s="1">
        <x:f>ROUND(D62*1.8,2)</x:f>
        <x:v>3.1699999999999999</x:v>
      </x:c>
      <x:c r="E66" s="1">
        <x:f>ROUND(E62,2)</x:f>
        <x:v>2.25</x:v>
      </x:c>
      <x:c r="F66" s="1">
        <x:f>ROUND(F62*2.1,2)</x:f>
        <x:v>0.63</x:v>
      </x:c>
      <x:c r="G66" s="1">
        <x:f>IF(G62*1.2&lt;=1,G62*1.2,1)</x:f>
        <x:v>0.126</x:v>
      </x:c>
      <x:c r="H66" s="1">
        <x:f>ROUND(H62*1.2,2)</x:f>
        <x:v>0.040000000000000002</x:v>
      </x:c>
      <x:c r="I66" s="1">
        <x:f>ROUND(I62*1.5,2)</x:f>
        <x:v>0.75</x:v>
      </x:c>
      <x:c r="J66" s="1">
        <x:v>25</x:v>
      </x:c>
      <x:c r="K66" s="1">
        <x:v>10</x:v>
      </x:c>
      <x:c r="L66" s="1">
        <x:f>L62</x:f>
        <x:v>1.5</x:v>
      </x:c>
      <x:c r="O66" s="3">
        <x:f t="shared" si="19"/>
        <x:v>119.83</x:v>
      </x:c>
      <x:c r="P66" s="3">
        <x:f t="shared" si="20"/>
        <x:v>135.53</x:v>
      </x:c>
      <x:c r="R66" s="3">
        <x:f t="shared" si="18"/>
        <x:v>96.689999999999998</x:v>
      </x:c>
      <x:c r="S66" s="3">
        <x:f t="shared" si="18"/>
        <x:v>103.51000000000001</x:v>
      </x:c>
      <x:c r="U66" s="4">
        <x:f>O66-$R$6</x:f>
        <x:v>23.140000000000001</x:v>
      </x:c>
      <x:c r="V66" s="4">
        <x:f>P66-$S$6</x:f>
        <x:v>32.019999999999996</x:v>
      </x:c>
    </x:row>
    <x:row r="67" spans="1:22">
      <x:c r="A67" s="1">
        <x:f>A63+1000</x:f>
        <x:v>2204</x:v>
      </x:c>
      <x:c r="B67" s="1" t="str">
        <x:f>B63</x:f>
        <x:v>(단일) 창 타워</x:v>
      </x:c>
      <x:c r="C67" s="1">
        <x:v>1</x:v>
      </x:c>
      <x:c r="D67" s="1">
        <x:f>ROUND(D63*1.7,2)</x:f>
        <x:v>2.2999999999999998</x:v>
      </x:c>
      <x:c r="E67" s="1">
        <x:f>ROUND(E63,2)</x:f>
        <x:v>2.25</x:v>
      </x:c>
      <x:c r="F67" s="1">
        <x:f>ROUND(F63*2.2,2)</x:f>
        <x:v>1.1000000000000001</x:v>
      </x:c>
      <x:c r="G67" s="1">
        <x:f>IF(G63*1.2&lt;=1,G63*1.2,1)</x:f>
        <x:v>0.14399999999999999</x:v>
      </x:c>
      <x:c r="H67" s="1">
        <x:f>ROUND(H63*1.2,2)</x:f>
        <x:v>0.029999999999999999</x:v>
      </x:c>
      <x:c r="I67" s="1">
        <x:f t="shared" ref="I67:I81" si="21">I63</x:f>
        <x:v>0</x:v>
      </x:c>
      <x:c r="J67" s="1">
        <x:v>0</x:v>
      </x:c>
      <x:c r="K67" s="1">
        <x:v>15</x:v>
      </x:c>
      <x:c r="L67" s="1">
        <x:v>0</x:v>
      </x:c>
      <x:c r="O67" s="3">
        <x:f t="shared" si="19"/>
        <x:v>151.80000000000001</x:v>
      </x:c>
      <x:c r="P67" s="3">
        <x:f t="shared" si="20"/>
        <x:v>174.31</x:v>
      </x:c>
      <x:c r="R67" s="3">
        <x:f t="shared" si="18"/>
        <x:v>127.56999999999999</x:v>
      </x:c>
      <x:c r="S67" s="3">
        <x:f t="shared" si="18"/>
        <x:v>139.41</x:v>
      </x:c>
      <x:c r="U67" s="5">
        <x:f>O67-$R$7</x:f>
        <x:v>24.230000000000018</x:v>
      </x:c>
      <x:c r="V67" s="5">
        <x:f>P67-$S$7</x:f>
        <x:v>34.900000000000006</x:v>
      </x:c>
    </x:row>
    <x:row r="68" spans="1:22">
      <x:c r="A68" s="1">
        <x:f t="shared" ref="A68:A81" si="22">A64+1000</x:f>
        <x:v>2304</x:v>
      </x:c>
      <x:c r="B68" s="1" t="str">
        <x:f>B64</x:f>
        <x:v>(함정) 창 타워</x:v>
      </x:c>
      <x:c r="C68" s="1">
        <x:v>1</x:v>
      </x:c>
      <x:c r="D68" s="1">
        <x:f>ROUND(D64*2,2)</x:f>
        <x:v>8</x:v>
      </x:c>
      <x:c r="E68" s="1">
        <x:f>ROUND(E64,2)</x:f>
        <x:v>2.25</x:v>
      </x:c>
      <x:c r="F68" s="1">
        <x:f>ROUND(F64*2.1,2)</x:f>
        <x:v>0.089999999999999991</x:v>
      </x:c>
      <x:c r="G68" s="1">
        <x:v>0</x:v>
      </x:c>
      <x:c r="H68" s="1">
        <x:v>0</x:v>
      </x:c>
      <x:c r="I68" s="1">
        <x:f t="shared" si="21"/>
        <x:v>30</x:v>
      </x:c>
      <x:c r="J68" s="1">
        <x:v>0</x:v>
      </x:c>
      <x:c r="K68" s="1">
        <x:v>1</x:v>
      </x:c>
      <x:c r="L68" s="1">
        <x:f>L64</x:f>
        <x:v>1.5</x:v>
      </x:c>
      <x:c r="O68" s="3">
        <x:f t="shared" si="19"/>
        <x:v>43.200000000000003</x:v>
      </x:c>
      <x:c r="P68" s="3">
        <x:f t="shared" si="20"/>
        <x:v>43.200000000000003</x:v>
      </x:c>
      <x:c r="R68" s="3">
        <x:f t="shared" si="18"/>
        <x:v>38.280000000000001</x:v>
      </x:c>
      <x:c r="S68" s="3">
        <x:f t="shared" si="18"/>
        <x:v>38.280000000000001</x:v>
      </x:c>
      <x:c r="U68" s="6">
        <x:f>O68-$R$8</x:f>
        <x:v>4.9200000000000017</x:v>
      </x:c>
      <x:c r="V68" s="6">
        <x:f>P68-$S$8</x:f>
        <x:v>4.9200000000000017</x:v>
      </x:c>
    </x:row>
    <x:row r="69" spans="1:22">
      <x:c r="A69" s="1">
        <x:f t="shared" si="22"/>
        <x:v>2404</x:v>
      </x:c>
      <x:c r="B69" s="1" t="str">
        <x:f>B65</x:f>
        <x:v>(버프) 창 타워</x:v>
      </x:c>
      <x:c r="C69" s="1">
        <x:v>1</x:v>
      </x:c>
      <x:c r="D69" s="1">
        <x:v>0</x:v>
      </x:c>
      <x:c r="E69" s="1">
        <x:f>E65</x:f>
        <x:v>1</x:v>
      </x:c>
      <x:c r="F69" s="1">
        <x:v>1</x:v>
      </x:c>
      <x:c r="G69" s="1">
        <x:v>0</x:v>
      </x:c>
      <x:c r="H69" s="1">
        <x:v>0</x:v>
      </x:c>
      <x:c r="I69" s="1">
        <x:f t="shared" si="21"/>
        <x:v>1</x:v>
      </x:c>
      <x:c r="J69" s="1" t="e">
        <x:f>IF(#REF!="Buff",1.4,25)</x:f>
        <x:v>#REF!</x:v>
      </x:c>
      <x:c r="K69" s="1">
        <x:v>1</x:v>
      </x:c>
      <x:c r="L69" s="1">
        <x:v>0</x:v>
      </x:c>
      <x:c r="O69" s="3">
        <x:f t="shared" si="19"/>
        <x:v>0</x:v>
      </x:c>
      <x:c r="P69" s="3">
        <x:f t="shared" si="20"/>
        <x:v>0</x:v>
      </x:c>
      <x:c r="R69" s="3">
        <x:f t="shared" si="18"/>
        <x:v>15</x:v>
      </x:c>
      <x:c r="S69" s="3">
        <x:f t="shared" si="18"/>
        <x:v>15</x:v>
      </x:c>
      <x:c r="U69" s="7">
        <x:f>O69-$R$9</x:f>
        <x:v>-15</x:v>
      </x:c>
      <x:c r="V69" s="7">
        <x:f>P69-$S$9</x:f>
        <x:v>-15</x:v>
      </x:c>
    </x:row>
    <x:row r="70" spans="1:22">
      <x:c r="A70" s="1">
        <x:f t="shared" si="22"/>
        <x:v>3104</x:v>
      </x:c>
      <x:c r="B70" s="1" t="str">
        <x:f>B62</x:f>
        <x:v>(광역) 창 타워</x:v>
      </x:c>
      <x:c r="C70" s="1">
        <x:v>1</x:v>
      </x:c>
      <x:c r="D70" s="1">
        <x:f>ROUND(D66*2.25,2)</x:f>
        <x:v>7.1299999999999999</x:v>
      </x:c>
      <x:c r="E70" s="1">
        <x:f>ROUND(E66,2)</x:f>
        <x:v>2.25</x:v>
      </x:c>
      <x:c r="F70" s="1">
        <x:f>ROUND(F66*2.2,2)</x:f>
        <x:v>1.3899999999999999</x:v>
      </x:c>
      <x:c r="G70" s="1">
        <x:f>IF(G66*1.4&lt;=1,G66*1.4,1)</x:f>
        <x:v>0.1764</x:v>
      </x:c>
      <x:c r="H70" s="1">
        <x:f>ROUND(H66*1.5,2)</x:f>
        <x:v>0.059999999999999998</x:v>
      </x:c>
      <x:c r="I70" s="1">
        <x:f>ROUND(I62*2,2)</x:f>
        <x:v>1</x:v>
      </x:c>
      <x:c r="J70" s="1">
        <x:v>60</x:v>
      </x:c>
      <x:c r="K70" s="1">
        <x:v>10</x:v>
      </x:c>
      <x:c r="L70" s="1">
        <x:f>L62*1.5</x:f>
        <x:v>2.25</x:v>
      </x:c>
      <x:c r="O70" s="3">
        <x:f t="shared" si="19"/>
        <x:v>594.63999999999999</x:v>
      </x:c>
      <x:c r="P70" s="3">
        <x:f t="shared" si="20"/>
        <x:v>705.83000000000004</x:v>
      </x:c>
      <x:c r="R70" s="3">
        <x:f t="shared" si="18"/>
        <x:v>479.72000000000003</x:v>
      </x:c>
      <x:c r="S70" s="3">
        <x:f t="shared" si="18"/>
        <x:v>530</x:v>
      </x:c>
      <x:c r="U70" s="4">
        <x:f>O70-$R$10</x:f>
        <x:v>114.91999999999996</x:v>
      </x:c>
      <x:c r="V70" s="4">
        <x:f>P70-$S$10</x:f>
        <x:v>175.83000000000004</x:v>
      </x:c>
    </x:row>
    <x:row r="71" spans="1:22">
      <x:c r="A71" s="1">
        <x:f t="shared" si="22"/>
        <x:v>3204</x:v>
      </x:c>
      <x:c r="B71" s="1" t="str">
        <x:f>B63</x:f>
        <x:v>(단일) 창 타워</x:v>
      </x:c>
      <x:c r="C71" s="1">
        <x:v>1</x:v>
      </x:c>
      <x:c r="D71" s="1">
        <x:f>ROUND(D67*2,2)</x:f>
        <x:v>4.5999999999999996</x:v>
      </x:c>
      <x:c r="E71" s="1">
        <x:f>ROUND(E67,2)</x:f>
        <x:v>2.25</x:v>
      </x:c>
      <x:c r="F71" s="1">
        <x:f>ROUND(F67*2.4,2)</x:f>
        <x:v>2.6400000000000001</x:v>
      </x:c>
      <x:c r="G71" s="1">
        <x:f>IF(G67*1.4&lt;=1,G67*1.4,1)</x:f>
        <x:v>0.20159999999999997</x:v>
      </x:c>
      <x:c r="H71" s="1">
        <x:f>ROUND(H67*1.5,2)</x:f>
        <x:v>0.05</x:v>
      </x:c>
      <x:c r="I71" s="1">
        <x:f t="shared" si="21"/>
        <x:v>0</x:v>
      </x:c>
      <x:c r="J71" s="1">
        <x:v>0</x:v>
      </x:c>
      <x:c r="K71" s="1">
        <x:v>15</x:v>
      </x:c>
      <x:c r="L71" s="1">
        <x:v>0</x:v>
      </x:c>
      <x:c r="O71" s="3">
        <x:f t="shared" si="19"/>
        <x:v>728.63999999999999</x:v>
      </x:c>
      <x:c r="P71" s="3">
        <x:f t="shared" si="20"/>
        <x:v>882.88</x:v>
      </x:c>
      <x:c r="R71" s="3">
        <x:f t="shared" si="18"/>
        <x:v>612.57000000000005</x:v>
      </x:c>
      <x:c r="S71" s="3">
        <x:f t="shared" si="18"/>
        <x:v>699.50999999999999</x:v>
      </x:c>
      <x:c r="U71" s="5">
        <x:f>O71-$R$11</x:f>
        <x:v>116.06999999999994</x:v>
      </x:c>
      <x:c r="V71" s="5">
        <x:f>P71-$S$11</x:f>
        <x:v>183.37</x:v>
      </x:c>
    </x:row>
    <x:row r="72" spans="1:22">
      <x:c r="A72" s="1">
        <x:f t="shared" si="22"/>
        <x:v>3304</x:v>
      </x:c>
      <x:c r="B72" s="1" t="str">
        <x:f>B64</x:f>
        <x:v>(함정) 창 타워</x:v>
      </x:c>
      <x:c r="C72" s="1">
        <x:v>1</x:v>
      </x:c>
      <x:c r="D72" s="1">
        <x:f>ROUND(D68*2.5,2)</x:f>
        <x:v>20</x:v>
      </x:c>
      <x:c r="E72" s="1">
        <x:f>ROUND(E68,2)</x:f>
        <x:v>2.25</x:v>
      </x:c>
      <x:c r="F72" s="1">
        <x:f>ROUND(F68*2.2,2)</x:f>
        <x:v>0.20000000000000001</x:v>
      </x:c>
      <x:c r="G72" s="1">
        <x:v>0</x:v>
      </x:c>
      <x:c r="H72" s="1">
        <x:v>0</x:v>
      </x:c>
      <x:c r="I72" s="1">
        <x:f t="shared" si="21"/>
        <x:v>30</x:v>
      </x:c>
      <x:c r="J72" s="1">
        <x:v>0</x:v>
      </x:c>
      <x:c r="K72" s="1">
        <x:v>1</x:v>
      </x:c>
      <x:c r="L72" s="1">
        <x:f>L64*1.5</x:f>
        <x:v>2.25</x:v>
      </x:c>
      <x:c r="O72" s="3">
        <x:f t="shared" si="19"/>
        <x:v>240</x:v>
      </x:c>
      <x:c r="P72" s="3">
        <x:f t="shared" si="20"/>
        <x:v>240</x:v>
      </x:c>
      <x:c r="R72" s="3">
        <x:f t="shared" si="18"/>
        <x:v>208.80000000000001</x:v>
      </x:c>
      <x:c r="S72" s="3">
        <x:f t="shared" si="18"/>
        <x:v>208.80000000000001</x:v>
      </x:c>
      <x:c r="U72" s="6">
        <x:f>O72-$R$12</x:f>
        <x:v>31.199999999999989</x:v>
      </x:c>
      <x:c r="V72" s="6">
        <x:f>P72-$S$12</x:f>
        <x:v>31.199999999999989</x:v>
      </x:c>
    </x:row>
    <x:row r="73" spans="1:22">
      <x:c r="A73" s="1">
        <x:f t="shared" si="22"/>
        <x:v>3404</x:v>
      </x:c>
      <x:c r="B73" s="1" t="str">
        <x:f>B65</x:f>
        <x:v>(버프) 창 타워</x:v>
      </x:c>
      <x:c r="C73" s="1">
        <x:v>1</x:v>
      </x:c>
      <x:c r="D73" s="1">
        <x:v>0</x:v>
      </x:c>
      <x:c r="E73" s="1">
        <x:f>E69+1</x:f>
        <x:v>2</x:v>
      </x:c>
      <x:c r="F73" s="1">
        <x:v>1</x:v>
      </x:c>
      <x:c r="G73" s="1">
        <x:v>0</x:v>
      </x:c>
      <x:c r="H73" s="1">
        <x:v>0</x:v>
      </x:c>
      <x:c r="I73" s="1">
        <x:f t="shared" si="21"/>
        <x:v>1</x:v>
      </x:c>
      <x:c r="J73" s="1" t="e">
        <x:f>IF(#REF!="Buff",2,60)</x:f>
        <x:v>#REF!</x:v>
      </x:c>
      <x:c r="K73" s="1">
        <x:v>1</x:v>
      </x:c>
      <x:c r="L73" s="1">
        <x:v>0</x:v>
      </x:c>
      <x:c r="O73" s="3">
        <x:f t="shared" si="19"/>
        <x:v>0</x:v>
      </x:c>
      <x:c r="P73" s="3">
        <x:f t="shared" si="20"/>
        <x:v>0</x:v>
      </x:c>
      <x:c r="R73" s="3">
        <x:f t="shared" si="18"/>
        <x:v>22.5</x:v>
      </x:c>
      <x:c r="S73" s="3">
        <x:f t="shared" si="18"/>
        <x:v>22.5</x:v>
      </x:c>
      <x:c r="U73" s="7">
        <x:f>O73-$R$13</x:f>
        <x:v>-22.5</x:v>
      </x:c>
      <x:c r="V73" s="7">
        <x:f>P73-$S$13</x:f>
        <x:v>-22.5</x:v>
      </x:c>
    </x:row>
    <x:row r="74" spans="1:22">
      <x:c r="A74" s="1">
        <x:f t="shared" si="22"/>
        <x:v>4104</x:v>
      </x:c>
      <x:c r="B74" s="1" t="str">
        <x:f>B62</x:f>
        <x:v>(광역) 창 타워</x:v>
      </x:c>
      <x:c r="C74" s="1">
        <x:v>1</x:v>
      </x:c>
      <x:c r="D74" s="1">
        <x:f>ROUND(D70*3,2)</x:f>
        <x:v>21.390000000000001</x:v>
      </x:c>
      <x:c r="E74" s="1">
        <x:f>ROUND(E70*1.1,2)</x:f>
        <x:v>2.48</x:v>
      </x:c>
      <x:c r="F74" s="1">
        <x:f>ROUND(F70*2.5,2)</x:f>
        <x:v>3.48</x:v>
      </x:c>
      <x:c r="G74" s="1">
        <x:f>IF(G70*1.6&lt;=1,G70*1.6,1)</x:f>
        <x:v>0.28223999999999999</x:v>
      </x:c>
      <x:c r="H74" s="1">
        <x:f>ROUND(H70*2,2)</x:f>
        <x:v>0.12</x:v>
      </x:c>
      <x:c r="I74" s="1">
        <x:f>ROUND(I62*3,2)</x:f>
        <x:v>1.5</x:v>
      </x:c>
      <x:c r="J74" s="1">
        <x:v>150</x:v>
      </x:c>
      <x:c r="K74" s="1">
        <x:v>10</x:v>
      </x:c>
      <x:c r="L74" s="1">
        <x:f>L62*2</x:f>
        <x:v>3</x:v>
      </x:c>
      <x:c r="O74" s="3">
        <x:f t="shared" si="19"/>
        <x:v>4466.2299999999996</x:v>
      </x:c>
      <x:c r="P74" s="3">
        <x:f t="shared" si="20"/>
        <x:v>5878.04</x:v>
      </x:c>
      <x:c r="R74" s="3">
        <x:f t="shared" si="18"/>
        <x:v>3601.5900000000001</x:v>
      </x:c>
      <x:c r="S74" s="3">
        <x:f t="shared" si="18"/>
        <x:v>4306.1000000000004</x:v>
      </x:c>
      <x:c r="U74" s="4">
        <x:f>O74-$R$14</x:f>
        <x:v>864.63999999999942</x:v>
      </x:c>
      <x:c r="V74" s="4">
        <x:f>P74-$S$14</x:f>
        <x:v>1571.9399999999996</x:v>
      </x:c>
    </x:row>
    <x:row r="75" spans="1:22">
      <x:c r="A75" s="1">
        <x:f t="shared" si="22"/>
        <x:v>4204</x:v>
      </x:c>
      <x:c r="B75" s="1" t="str">
        <x:f>B63</x:f>
        <x:v>(단일) 창 타워</x:v>
      </x:c>
      <x:c r="C75" s="1">
        <x:v>1</x:v>
      </x:c>
      <x:c r="D75" s="1">
        <x:f>ROUND(D71*3,2)</x:f>
        <x:v>13.800000000000001</x:v>
      </x:c>
      <x:c r="E75" s="1">
        <x:f>ROUND(E71*1.1,2)</x:f>
        <x:v>2.48</x:v>
      </x:c>
      <x:c r="F75" s="1">
        <x:f>ROUND(F71*2.75,2)</x:f>
        <x:v>7.2599999999999998</x:v>
      </x:c>
      <x:c r="G75" s="1">
        <x:f>IF(G71*1.6&lt;=1,G71*1.6,1)</x:f>
        <x:v>0.32255999999999996</x:v>
      </x:c>
      <x:c r="H75" s="1">
        <x:f>ROUND(H71*2,2)</x:f>
        <x:v>0.10000000000000001</x:v>
      </x:c>
      <x:c r="I75" s="1">
        <x:f t="shared" si="21"/>
        <x:v>0</x:v>
      </x:c>
      <x:c r="J75" s="1">
        <x:v>0</x:v>
      </x:c>
      <x:c r="K75" s="1">
        <x:v>15</x:v>
      </x:c>
      <x:c r="L75" s="1">
        <x:v>0</x:v>
      </x:c>
      <x:c r="O75" s="3">
        <x:f t="shared" si="19"/>
        <x:v>6011.2799999999997</x:v>
      </x:c>
      <x:c r="P75" s="3">
        <x:f t="shared" si="20"/>
        <x:v>8144.1800000000003</x:v>
      </x:c>
      <x:c r="R75" s="3">
        <x:f t="shared" si="18"/>
        <x:v>5055.3500000000004</x:v>
      </x:c>
      <x:c r="S75" s="3">
        <x:f t="shared" si="18"/>
        <x:v>6489.9499999999998</x:v>
      </x:c>
      <x:c r="U75" s="5">
        <x:f>O75-$R$15</x:f>
        <x:v>955.92999999999938</x:v>
      </x:c>
      <x:c r="V75" s="5">
        <x:f>P75-$S$15</x:f>
        <x:v>1654.2300000000005</x:v>
      </x:c>
    </x:row>
    <x:row r="76" spans="1:22">
      <x:c r="A76" s="1">
        <x:f t="shared" si="22"/>
        <x:v>4304</x:v>
      </x:c>
      <x:c r="B76" s="1" t="str">
        <x:f>B64</x:f>
        <x:v>(함정) 창 타워</x:v>
      </x:c>
      <x:c r="C76" s="1">
        <x:v>1</x:v>
      </x:c>
      <x:c r="D76" s="1">
        <x:f>ROUND(D72*3,2)</x:f>
        <x:v>60</x:v>
      </x:c>
      <x:c r="E76" s="1">
        <x:f>ROUND(E72*1.1,2)</x:f>
        <x:v>2.48</x:v>
      </x:c>
      <x:c r="F76" s="1">
        <x:f>ROUND(F72*2.5,2)</x:f>
        <x:v>0.5</x:v>
      </x:c>
      <x:c r="G76" s="1">
        <x:v>0</x:v>
      </x:c>
      <x:c r="H76" s="1">
        <x:v>0</x:v>
      </x:c>
      <x:c r="I76" s="1">
        <x:f t="shared" si="21"/>
        <x:v>30</x:v>
      </x:c>
      <x:c r="J76" s="1">
        <x:v>0</x:v>
      </x:c>
      <x:c r="K76" s="1">
        <x:v>1</x:v>
      </x:c>
      <x:c r="L76" s="1">
        <x:f>L64*2</x:f>
        <x:v>3</x:v>
      </x:c>
      <x:c r="O76" s="3">
        <x:f t="shared" si="19"/>
        <x:v>1800</x:v>
      </x:c>
      <x:c r="P76" s="3">
        <x:f t="shared" si="20"/>
        <x:v>1800</x:v>
      </x:c>
      <x:c r="R76" s="3">
        <x:f t="shared" si="18"/>
        <x:v>1570.5</x:v>
      </x:c>
      <x:c r="S76" s="3">
        <x:f t="shared" si="18"/>
        <x:v>1570.5</x:v>
      </x:c>
      <x:c r="U76" s="6">
        <x:f>O76-$R$16</x:f>
        <x:v>229.5</x:v>
      </x:c>
      <x:c r="V76" s="6">
        <x:f>P76-$S$16</x:f>
        <x:v>229.5</x:v>
      </x:c>
    </x:row>
    <x:row r="77" spans="1:22">
      <x:c r="A77" s="1">
        <x:f t="shared" si="22"/>
        <x:v>4404</x:v>
      </x:c>
      <x:c r="B77" s="1" t="str">
        <x:f>B65</x:f>
        <x:v>(버프) 창 타워</x:v>
      </x:c>
      <x:c r="C77" s="1">
        <x:v>1</x:v>
      </x:c>
      <x:c r="D77" s="1">
        <x:v>0</x:v>
      </x:c>
      <x:c r="E77" s="1">
        <x:f>E73+2</x:f>
        <x:v>4</x:v>
      </x:c>
      <x:c r="F77" s="1">
        <x:v>1</x:v>
      </x:c>
      <x:c r="G77" s="1">
        <x:v>0</x:v>
      </x:c>
      <x:c r="H77" s="1">
        <x:v>0</x:v>
      </x:c>
      <x:c r="I77" s="1">
        <x:f t="shared" si="21"/>
        <x:v>1</x:v>
      </x:c>
      <x:c r="J77" s="1" t="e">
        <x:f>IF(#REF!="Buff",3,150)</x:f>
        <x:v>#REF!</x:v>
      </x:c>
      <x:c r="K77" s="1">
        <x:v>1</x:v>
      </x:c>
      <x:c r="L77" s="1">
        <x:v>0</x:v>
      </x:c>
      <x:c r="O77" s="3">
        <x:f t="shared" si="19"/>
        <x:v>0</x:v>
      </x:c>
      <x:c r="P77" s="3">
        <x:f t="shared" si="20"/>
        <x:v>0</x:v>
      </x:c>
      <x:c r="R77" s="3">
        <x:f t="shared" si="18"/>
        <x:v>37.5</x:v>
      </x:c>
      <x:c r="S77" s="3">
        <x:f t="shared" si="18"/>
        <x:v>37.5</x:v>
      </x:c>
      <x:c r="U77" s="7">
        <x:f>O77-$R$17</x:f>
        <x:v>-37.5</x:v>
      </x:c>
      <x:c r="V77" s="7">
        <x:f>P77-$S$17</x:f>
        <x:v>-37.5</x:v>
      </x:c>
    </x:row>
    <x:row r="78" spans="1:22">
      <x:c r="A78" s="1">
        <x:f t="shared" si="22"/>
        <x:v>5104</x:v>
      </x:c>
      <x:c r="B78" s="1" t="str">
        <x:f>B62</x:f>
        <x:v>(광역) 창 타워</x:v>
      </x:c>
      <x:c r="C78" s="1">
        <x:v>1</x:v>
      </x:c>
      <x:c r="D78" s="1">
        <x:f>ROUND(D74*4.2,2)</x:f>
        <x:v>89.840000000000003</x:v>
      </x:c>
      <x:c r="E78" s="1">
        <x:f>ROUND(E74*1.25,2)</x:f>
        <x:v>3.1000000000000001</x:v>
      </x:c>
      <x:c r="F78" s="1">
        <x:f>ROUND(F74*3,2)</x:f>
        <x:v>10.44</x:v>
      </x:c>
      <x:c r="G78" s="1">
        <x:f>IF(G74*1.8&lt;=1,G74*1.8,1)</x:f>
        <x:v>0.50803200000000004</x:v>
      </x:c>
      <x:c r="H78" s="1">
        <x:f>ROUND(H74*2.8,2)</x:f>
        <x:v>0.34000000000000002</x:v>
      </x:c>
      <x:c r="I78" s="1">
        <x:f>ROUND(I62*5,2)</x:f>
        <x:v>2.5</x:v>
      </x:c>
      <x:c r="J78" s="1">
        <x:v>525</x:v>
      </x:c>
      <x:c r="K78" s="1">
        <x:v>10</x:v>
      </x:c>
      <x:c r="L78" s="1">
        <x:f>L62*3</x:f>
        <x:v>4.5</x:v>
      </x:c>
      <x:c r="O78" s="3">
        <x:f t="shared" si="19"/>
        <x:v>56275.779999999999</x:v>
      </x:c>
      <x:c r="P78" s="3">
        <x:f t="shared" si="20"/>
        <x:v>94586.240000000005</x:v>
      </x:c>
      <x:c r="R78" s="3">
        <x:f t="shared" si="18"/>
        <x:v>45381.339999999997</x:v>
      </x:c>
      <x:c r="S78" s="3">
        <x:f t="shared" si="18"/>
        <x:v>69583.229999999996</x:v>
      </x:c>
      <x:c r="U78" s="4">
        <x:f>O78-$R$18</x:f>
        <x:v>10894.440000000002</x:v>
      </x:c>
      <x:c r="V78" s="4">
        <x:f>P78-$S$18</x:f>
        <x:v>25003.010000000009</x:v>
      </x:c>
    </x:row>
    <x:row r="79" spans="1:22">
      <x:c r="A79" s="1">
        <x:f t="shared" si="22"/>
        <x:v>5204</x:v>
      </x:c>
      <x:c r="B79" s="1" t="str">
        <x:f>B63</x:f>
        <x:v>(단일) 창 타워</x:v>
      </x:c>
      <x:c r="C79" s="1">
        <x:v>1</x:v>
      </x:c>
      <x:c r="D79" s="1">
        <x:f>ROUND(D75*5,2)</x:f>
        <x:v>69</x:v>
      </x:c>
      <x:c r="E79" s="1">
        <x:f t="shared" ref="E79:E80" si="23">ROUND(E75*1.25,2)</x:f>
        <x:v>3.1000000000000001</x:v>
      </x:c>
      <x:c r="F79" s="1">
        <x:f>ROUND(F75*4,2)</x:f>
        <x:v>29.039999999999999</x:v>
      </x:c>
      <x:c r="G79" s="1">
        <x:f>IF(G75*1.8&lt;=1,G75*1.8,1)</x:f>
        <x:v>0.5806079999999999</x:v>
      </x:c>
      <x:c r="H79" s="1">
        <x:f>ROUND(H75*2.8,2)</x:f>
        <x:v>0.28000000000000003</x:v>
      </x:c>
      <x:c r="I79" s="1">
        <x:f t="shared" si="21"/>
        <x:v>0</x:v>
      </x:c>
      <x:c r="J79" s="1">
        <x:v>0</x:v>
      </x:c>
      <x:c r="K79" s="1">
        <x:v>15</x:v>
      </x:c>
      <x:c r="L79" s="1">
        <x:v>0</x:v>
      </x:c>
      <x:c r="O79" s="3">
        <x:f t="shared" si="19"/>
        <x:v>120225.60000000001</x:v>
      </x:c>
      <x:c r="P79" s="3">
        <x:f t="shared" si="20"/>
        <x:v>209574.64999999999</x:v>
      </x:c>
      <x:c r="R79" s="3">
        <x:f t="shared" si="18"/>
        <x:v>101106.89999999999</x:v>
      </x:c>
      <x:c r="S79" s="3">
        <x:f t="shared" si="18"/>
        <x:v>189869.89999999999</x:v>
      </x:c>
      <x:c r="U79" s="5">
        <x:f>O79-$R$19</x:f>
        <x:v>19118.700000000012</x:v>
      </x:c>
      <x:c r="V79" s="5">
        <x:f>P79-$S$19</x:f>
        <x:v>19704.75</x:v>
      </x:c>
    </x:row>
    <x:row r="80" spans="1:22">
      <x:c r="A80" s="1">
        <x:f t="shared" si="22"/>
        <x:v>5304</x:v>
      </x:c>
      <x:c r="B80" s="1" t="str">
        <x:f>B64</x:f>
        <x:v>(함정) 창 타워</x:v>
      </x:c>
      <x:c r="C80" s="1">
        <x:v>1</x:v>
      </x:c>
      <x:c r="D80" s="1">
        <x:f>ROUND(D76*5,2)</x:f>
        <x:v>300</x:v>
      </x:c>
      <x:c r="E80" s="1">
        <x:f t="shared" si="23"/>
        <x:v>3.1000000000000001</x:v>
      </x:c>
      <x:c r="F80" s="1">
        <x:f>ROUND(F76*3,2)</x:f>
        <x:v>1.5</x:v>
      </x:c>
      <x:c r="G80" s="1">
        <x:v>0</x:v>
      </x:c>
      <x:c r="H80" s="1">
        <x:v>0</x:v>
      </x:c>
      <x:c r="I80" s="1">
        <x:f t="shared" si="21"/>
        <x:v>30</x:v>
      </x:c>
      <x:c r="J80" s="1">
        <x:v>0</x:v>
      </x:c>
      <x:c r="K80" s="1">
        <x:v>1</x:v>
      </x:c>
      <x:c r="L80" s="1">
        <x:f>L64*3</x:f>
        <x:v>4.5</x:v>
      </x:c>
      <x:c r="O80" s="3">
        <x:f t="shared" si="19"/>
        <x:v>27000</x:v>
      </x:c>
      <x:c r="P80" s="3">
        <x:f t="shared" si="20"/>
        <x:v>27000</x:v>
      </x:c>
      <x:c r="R80" s="3">
        <x:f t="shared" si="18"/>
        <x:v>23557.5</x:v>
      </x:c>
      <x:c r="S80" s="3">
        <x:f t="shared" si="18"/>
        <x:v>23557.5</x:v>
      </x:c>
      <x:c r="U80" s="6">
        <x:f>O80-$R$20</x:f>
        <x:v>3442.5</x:v>
      </x:c>
      <x:c r="V80" s="6">
        <x:f>P80-$S$20</x:f>
        <x:v>3442.5</x:v>
      </x:c>
    </x:row>
    <x:row r="81" spans="1:22">
      <x:c r="A81" s="1">
        <x:f t="shared" si="22"/>
        <x:v>5404</x:v>
      </x:c>
      <x:c r="B81" s="1" t="str">
        <x:f>B65</x:f>
        <x:v>(버프) 창 타워</x:v>
      </x:c>
      <x:c r="C81" s="1">
        <x:v>1</x:v>
      </x:c>
      <x:c r="D81" s="1">
        <x:v>0</x:v>
      </x:c>
      <x:c r="E81" s="1">
        <x:f>E77+3</x:f>
        <x:v>7</x:v>
      </x:c>
      <x:c r="F81" s="1">
        <x:v>1</x:v>
      </x:c>
      <x:c r="G81" s="1">
        <x:v>0</x:v>
      </x:c>
      <x:c r="H81" s="1">
        <x:v>0</x:v>
      </x:c>
      <x:c r="I81" s="1">
        <x:f t="shared" si="21"/>
        <x:v>1</x:v>
      </x:c>
      <x:c r="J81" s="1" t="e">
        <x:f>IF(#REF!="Buff",5,525)</x:f>
        <x:v>#REF!</x:v>
      </x:c>
      <x:c r="K81" s="1">
        <x:v>1</x:v>
      </x:c>
      <x:c r="L81" s="1">
        <x:v>0</x:v>
      </x:c>
      <x:c r="O81" s="3">
        <x:f t="shared" si="19"/>
        <x:v>0</x:v>
      </x:c>
      <x:c r="P81" s="3">
        <x:f t="shared" si="20"/>
        <x:v>0</x:v>
      </x:c>
      <x:c r="R81" s="3">
        <x:f t="shared" si="18"/>
        <x:v>75</x:v>
      </x:c>
      <x:c r="S81" s="3">
        <x:f t="shared" si="18"/>
        <x:v>75</x:v>
      </x:c>
      <x:c r="U81" s="7">
        <x:f>O81-$R$21</x:f>
        <x:v>-75</x:v>
      </x:c>
      <x:c r="V81" s="7">
        <x:f>P81-$S$21</x:f>
        <x:v>-75</x:v>
      </x:c>
    </x:row>
    <x:row r="82" spans="1:22">
      <x:c r="A82" s="1">
        <x:v>1105</x:v>
      </x:c>
      <x:c r="B82" s="1" t="s">
        <x:v>30</x:v>
      </x:c>
      <x:c r="C82" s="1">
        <x:v>1</x:v>
      </x:c>
      <x:c r="D82" s="1">
        <x:v>2.1499999999999999</x:v>
      </x:c>
      <x:c r="E82" s="1">
        <x:v>2.1000000000000001</x:v>
      </x:c>
      <x:c r="F82" s="1">
        <x:v>0.17999999999999999</x:v>
      </x:c>
      <x:c r="G82" s="1">
        <x:v>0.0025</x:v>
      </x:c>
      <x:c r="H82" s="1">
        <x:v>5.5</x:v>
      </x:c>
      <x:c r="I82" s="1">
        <x:v>0.5</x:v>
      </x:c>
      <x:c r="J82" s="1">
        <x:v>8.6957000000000004</x:v>
      </x:c>
      <x:c r="K82" s="1">
        <x:v>10</x:v>
      </x:c>
      <x:c r="L82" s="1">
        <x:v>1.2</x:v>
      </x:c>
      <x:c r="O82" s="3">
        <x:f>ROUND(60*(D82*F82),2)</x:f>
        <x:v>23.219999999999999</x:v>
      </x:c>
      <x:c r="P82" s="3">
        <x:f>ROUND((O82*G82*(2+H82))+O82*(1-G82),2)</x:f>
        <x:v>23.600000000000001</x:v>
      </x:c>
      <x:c r="R82" s="3">
        <x:f t="shared" ref="R82:S101" si="24">R2</x:f>
        <x:v>25.539999999999999</x:v>
      </x:c>
      <x:c r="S82" s="3">
        <x:f t="shared" si="24"/>
        <x:v>27.010000000000002</x:v>
      </x:c>
      <x:c r="U82" s="4">
        <x:f>O82-$R$2</x:f>
        <x:v>-2.3200000000000003</x:v>
      </x:c>
      <x:c r="V82" s="4">
        <x:f>P82-$S$2</x:f>
        <x:v>-3.4100000000000001</x:v>
      </x:c>
    </x:row>
    <x:row r="83" spans="1:22">
      <x:c r="A83" s="1">
        <x:f>A82+100</x:f>
        <x:v>1205</x:v>
      </x:c>
      <x:c r="B83" s="1" t="s">
        <x:v>27</x:v>
      </x:c>
      <x:c r="C83" s="1">
        <x:v>1</x:v>
      </x:c>
      <x:c r="D83" s="1">
        <x:v>2.5</x:v>
      </x:c>
      <x:c r="E83" s="1">
        <x:v>2.1000000000000001</x:v>
      </x:c>
      <x:c r="F83" s="1">
        <x:v>0.20000000000000001</x:v>
      </x:c>
      <x:c r="G83" s="1">
        <x:v>0.0044999999999999996</x:v>
      </x:c>
      <x:c r="H83" s="1">
        <x:v>4.2000000000000002</x:v>
      </x:c>
      <x:c r="I83" s="1">
        <x:v>0</x:v>
      </x:c>
      <x:c r="J83" s="1">
        <x:v>0</x:v>
      </x:c>
      <x:c r="K83" s="1">
        <x:v>15</x:v>
      </x:c>
      <x:c r="L83" s="1">
        <x:v>0</x:v>
      </x:c>
      <x:c r="O83" s="3">
        <x:f t="shared" ref="O83:O101" si="25">ROUND(60*(D83*F83),2)</x:f>
        <x:v>30</x:v>
      </x:c>
      <x:c r="P83" s="3">
        <x:f t="shared" ref="P83:P101" si="26">ROUND((O83*G83*(2+H83))+O83*(1-G83),2)</x:f>
        <x:v>30.699999999999999</x:v>
      </x:c>
      <x:c r="R83" s="3">
        <x:f t="shared" si="24"/>
        <x:v>33.960000000000001</x:v>
      </x:c>
      <x:c r="S83" s="3">
        <x:f t="shared" si="24"/>
        <x:v>36.509999999999998</x:v>
      </x:c>
      <x:c r="U83" s="5">
        <x:f>O83-$R$3</x:f>
        <x:v>-3.9600000000000009</x:v>
      </x:c>
      <x:c r="V83" s="5">
        <x:f>P83-$S$3</x:f>
        <x:v>-5.8099999999999987</x:v>
      </x:c>
    </x:row>
    <x:row r="84" spans="1:22">
      <x:c r="A84" s="1">
        <x:f>A82+200</x:f>
        <x:v>1305</x:v>
      </x:c>
      <x:c r="B84" s="1" t="s">
        <x:v>17</x:v>
      </x:c>
      <x:c r="C84" s="1">
        <x:v>1</x:v>
      </x:c>
      <x:c r="D84" s="1">
        <x:v>3</x:v>
      </x:c>
      <x:c r="E84" s="1">
        <x:v>2.1000000000000001</x:v>
      </x:c>
      <x:c r="F84" s="1">
        <x:v>0.05</x:v>
      </x:c>
      <x:c r="G84" s="1">
        <x:v>0</x:v>
      </x:c>
      <x:c r="H84" s="1">
        <x:v>0</x:v>
      </x:c>
      <x:c r="I84" s="1">
        <x:v>30</x:v>
      </x:c>
      <x:c r="J84" s="1">
        <x:v>0</x:v>
      </x:c>
      <x:c r="K84" s="1">
        <x:v>1</x:v>
      </x:c>
      <x:c r="L84" s="1">
        <x:v>1.5</x:v>
      </x:c>
      <x:c r="O84" s="3">
        <x:f t="shared" si="25"/>
        <x:v>9</x:v>
      </x:c>
      <x:c r="P84" s="3">
        <x:f t="shared" si="26"/>
        <x:v>9</x:v>
      </x:c>
      <x:c r="R84" s="3">
        <x:f t="shared" si="24"/>
        <x:v>9.0800000000000001</x:v>
      </x:c>
      <x:c r="S84" s="3">
        <x:f t="shared" si="24"/>
        <x:v>9.0800000000000001</x:v>
      </x:c>
      <x:c r="U84" s="6">
        <x:f>O84-$R$4</x:f>
        <x:v>-0.080000000000000071</x:v>
      </x:c>
      <x:c r="V84" s="6">
        <x:f>P84-$S$4</x:f>
        <x:v>-0.080000000000000071</x:v>
      </x:c>
    </x:row>
    <x:row r="85" spans="1:22">
      <x:c r="A85" s="1">
        <x:f>A82+300</x:f>
        <x:v>1405</x:v>
      </x:c>
      <x:c r="B85" s="1" t="s">
        <x:v>43</x:v>
      </x:c>
      <x:c r="C85" s="1">
        <x:v>1</x:v>
      </x:c>
      <x:c r="D85" s="1">
        <x:v>0</x:v>
      </x:c>
      <x:c r="E85" s="1">
        <x:v>1</x:v>
      </x:c>
      <x:c r="F85" s="1">
        <x:v>1</x:v>
      </x:c>
      <x:c r="G85" s="1">
        <x:v>0</x:v>
      </x:c>
      <x:c r="H85" s="1">
        <x:v>0</x:v>
      </x:c>
      <x:c r="I85" s="1">
        <x:v>1</x:v>
      </x:c>
      <x:c r="J85" s="1" t="e">
        <x:f>IF(#REF!="Buff",1.2,8.6957)</x:f>
        <x:v>#REF!</x:v>
      </x:c>
      <x:c r="K85" s="1">
        <x:v>1</x:v>
      </x:c>
      <x:c r="L85" s="1">
        <x:v>0</x:v>
      </x:c>
      <x:c r="O85" s="3">
        <x:f t="shared" si="25"/>
        <x:v>0</x:v>
      </x:c>
      <x:c r="P85" s="3">
        <x:f t="shared" si="26"/>
        <x:v>0</x:v>
      </x:c>
      <x:c r="R85" s="3">
        <x:f t="shared" si="24"/>
        <x:v>7.5</x:v>
      </x:c>
      <x:c r="S85" s="3">
        <x:f t="shared" si="24"/>
        <x:v>7.5</x:v>
      </x:c>
      <x:c r="U85" s="7">
        <x:f>O85-$R$5</x:f>
        <x:v>-7.5</x:v>
      </x:c>
      <x:c r="V85" s="7">
        <x:f>P85-$S$5</x:f>
        <x:v>-7.5</x:v>
      </x:c>
    </x:row>
    <x:row r="86" spans="1:22">
      <x:c r="A86" s="1">
        <x:f>A82+1000</x:f>
        <x:v>2105</x:v>
      </x:c>
      <x:c r="B86" s="1" t="str">
        <x:f>B82</x:f>
        <x:v>(광역) 도끼 타워</x:v>
      </x:c>
      <x:c r="C86" s="1">
        <x:v>1</x:v>
      </x:c>
      <x:c r="D86" s="1">
        <x:f>ROUND(D82*1.8,2)</x:f>
        <x:v>3.8700000000000001</x:v>
      </x:c>
      <x:c r="E86" s="1">
        <x:f>ROUND(E82,2)</x:f>
        <x:v>2.1000000000000001</x:v>
      </x:c>
      <x:c r="F86" s="1">
        <x:f>ROUND(F82*2.1,2)</x:f>
        <x:v>0.38</x:v>
      </x:c>
      <x:c r="G86" s="1">
        <x:f>IF(G82*1.2&lt;=1,G82*1.2,1)</x:f>
        <x:v>0.0029999999999999999</x:v>
      </x:c>
      <x:c r="H86" s="1">
        <x:f>ROUND(H82*1.2,2)</x:f>
        <x:v>6.5999999999999996</x:v>
      </x:c>
      <x:c r="I86" s="1">
        <x:f>ROUND(I82*1.5,2)</x:f>
        <x:v>0.75</x:v>
      </x:c>
      <x:c r="J86" s="1">
        <x:v>25</x:v>
      </x:c>
      <x:c r="K86" s="1">
        <x:v>10</x:v>
      </x:c>
      <x:c r="L86" s="1">
        <x:f>L82</x:f>
        <x:v>1.2</x:v>
      </x:c>
      <x:c r="O86" s="3">
        <x:f t="shared" si="25"/>
        <x:v>88.239999999999995</x:v>
      </x:c>
      <x:c r="P86" s="3">
        <x:f t="shared" si="26"/>
        <x:v>90.25</x:v>
      </x:c>
      <x:c r="R86" s="3">
        <x:f t="shared" si="24"/>
        <x:v>96.689999999999998</x:v>
      </x:c>
      <x:c r="S86" s="3">
        <x:f t="shared" si="24"/>
        <x:v>103.51000000000001</x:v>
      </x:c>
      <x:c r="U86" s="4">
        <x:f>O86-$R$6</x:f>
        <x:v>-8.4500000000000028</x:v>
      </x:c>
      <x:c r="V86" s="4">
        <x:f>P86-$S$6</x:f>
        <x:v>-13.260000000000005</x:v>
      </x:c>
    </x:row>
    <x:row r="87" spans="1:22">
      <x:c r="A87" s="1">
        <x:f>A83+1000</x:f>
        <x:v>2205</x:v>
      </x:c>
      <x:c r="B87" s="1" t="str">
        <x:f>B83</x:f>
        <x:v>(단일) 도끼 타워</x:v>
      </x:c>
      <x:c r="C87" s="1">
        <x:v>1</x:v>
      </x:c>
      <x:c r="D87" s="1">
        <x:f>ROUND(D83*1.7,2)</x:f>
        <x:v>4.25</x:v>
      </x:c>
      <x:c r="E87" s="1">
        <x:f>ROUND(E83,2)</x:f>
        <x:v>2.1000000000000001</x:v>
      </x:c>
      <x:c r="F87" s="1">
        <x:f>ROUND(F83*2.2,2)</x:f>
        <x:v>0.44</x:v>
      </x:c>
      <x:c r="G87" s="1">
        <x:f>IF(G83*1.2&lt;=1,G83*1.2,1)</x:f>
        <x:v>0.0053999999999999992</x:v>
      </x:c>
      <x:c r="H87" s="1">
        <x:f>ROUND(H83*1.2,2)</x:f>
        <x:v>5.04</x:v>
      </x:c>
      <x:c r="I87" s="1">
        <x:f t="shared" ref="I87:I101" si="27">I83</x:f>
        <x:v>0</x:v>
      </x:c>
      <x:c r="J87" s="1">
        <x:v>0</x:v>
      </x:c>
      <x:c r="K87" s="1">
        <x:v>15</x:v>
      </x:c>
      <x:c r="L87" s="1">
        <x:v>0</x:v>
      </x:c>
      <x:c r="O87" s="3">
        <x:f t="shared" si="25"/>
        <x:v>112.2</x:v>
      </x:c>
      <x:c r="P87" s="3">
        <x:f t="shared" si="26"/>
        <x:v>115.86</x:v>
      </x:c>
      <x:c r="R87" s="3">
        <x:f t="shared" si="24"/>
        <x:v>127.56999999999999</x:v>
      </x:c>
      <x:c r="S87" s="3">
        <x:f t="shared" si="24"/>
        <x:v>139.41</x:v>
      </x:c>
      <x:c r="U87" s="5">
        <x:f>O87-$R$7</x:f>
        <x:v>-15.36999999999999</x:v>
      </x:c>
      <x:c r="V87" s="5">
        <x:f>P87-$S$7</x:f>
        <x:v>-23.549999999999997</x:v>
      </x:c>
    </x:row>
    <x:row r="88" spans="1:22">
      <x:c r="A88" s="1">
        <x:f t="shared" ref="A88:A101" si="28">A84+1000</x:f>
        <x:v>2305</x:v>
      </x:c>
      <x:c r="B88" s="1" t="str">
        <x:f>B84</x:f>
        <x:v>(함정) 도끼 타워</x:v>
      </x:c>
      <x:c r="C88" s="1">
        <x:v>1</x:v>
      </x:c>
      <x:c r="D88" s="1">
        <x:f>ROUND(D84*2,2)</x:f>
        <x:v>6</x:v>
      </x:c>
      <x:c r="E88" s="1">
        <x:f>ROUND(E84,2)</x:f>
        <x:v>2.1000000000000001</x:v>
      </x:c>
      <x:c r="F88" s="1">
        <x:f>ROUND(F84*2.1,2)</x:f>
        <x:v>0.11</x:v>
      </x:c>
      <x:c r="G88" s="1">
        <x:v>0</x:v>
      </x:c>
      <x:c r="H88" s="1">
        <x:v>0</x:v>
      </x:c>
      <x:c r="I88" s="1">
        <x:f t="shared" si="27"/>
        <x:v>30</x:v>
      </x:c>
      <x:c r="J88" s="1">
        <x:v>0</x:v>
      </x:c>
      <x:c r="K88" s="1">
        <x:v>1</x:v>
      </x:c>
      <x:c r="L88" s="1">
        <x:f>L84</x:f>
        <x:v>1.5</x:v>
      </x:c>
      <x:c r="O88" s="3">
        <x:f t="shared" si="25"/>
        <x:v>39.600000000000001</x:v>
      </x:c>
      <x:c r="P88" s="3">
        <x:f t="shared" si="26"/>
        <x:v>39.600000000000001</x:v>
      </x:c>
      <x:c r="R88" s="3">
        <x:f t="shared" si="24"/>
        <x:v>38.280000000000001</x:v>
      </x:c>
      <x:c r="S88" s="3">
        <x:f t="shared" si="24"/>
        <x:v>38.280000000000001</x:v>
      </x:c>
      <x:c r="U88" s="6">
        <x:f>O88-$R$8</x:f>
        <x:v>1.3200000000000003</x:v>
      </x:c>
      <x:c r="V88" s="6">
        <x:f>P88-$S$8</x:f>
        <x:v>1.3200000000000003</x:v>
      </x:c>
    </x:row>
    <x:row r="89" spans="1:22">
      <x:c r="A89" s="1">
        <x:f t="shared" si="28"/>
        <x:v>2405</x:v>
      </x:c>
      <x:c r="B89" s="1" t="str">
        <x:f>B85</x:f>
        <x:v>(버프) 도끼 타워</x:v>
      </x:c>
      <x:c r="C89" s="1">
        <x:v>1</x:v>
      </x:c>
      <x:c r="D89" s="1">
        <x:v>0</x:v>
      </x:c>
      <x:c r="E89" s="1">
        <x:f>E85</x:f>
        <x:v>1</x:v>
      </x:c>
      <x:c r="F89" s="1">
        <x:v>1</x:v>
      </x:c>
      <x:c r="G89" s="1">
        <x:v>0</x:v>
      </x:c>
      <x:c r="H89" s="1">
        <x:v>0</x:v>
      </x:c>
      <x:c r="I89" s="1">
        <x:f t="shared" si="27"/>
        <x:v>1</x:v>
      </x:c>
      <x:c r="J89" s="1" t="e">
        <x:f>IF(#REF!="Buff",1.4,25)</x:f>
        <x:v>#REF!</x:v>
      </x:c>
      <x:c r="K89" s="1">
        <x:v>1</x:v>
      </x:c>
      <x:c r="L89" s="1">
        <x:v>0</x:v>
      </x:c>
      <x:c r="O89" s="3">
        <x:f t="shared" si="25"/>
        <x:v>0</x:v>
      </x:c>
      <x:c r="P89" s="3">
        <x:f t="shared" si="26"/>
        <x:v>0</x:v>
      </x:c>
      <x:c r="R89" s="3">
        <x:f t="shared" si="24"/>
        <x:v>15</x:v>
      </x:c>
      <x:c r="S89" s="3">
        <x:f t="shared" si="24"/>
        <x:v>15</x:v>
      </x:c>
      <x:c r="U89" s="7">
        <x:f>O89-$R$9</x:f>
        <x:v>-15</x:v>
      </x:c>
      <x:c r="V89" s="7">
        <x:f>P89-$S$9</x:f>
        <x:v>-15</x:v>
      </x:c>
    </x:row>
    <x:row r="90" spans="1:22">
      <x:c r="A90" s="1">
        <x:f t="shared" si="28"/>
        <x:v>3105</x:v>
      </x:c>
      <x:c r="B90" s="1" t="str">
        <x:f>B82</x:f>
        <x:v>(광역) 도끼 타워</x:v>
      </x:c>
      <x:c r="C90" s="1">
        <x:v>1</x:v>
      </x:c>
      <x:c r="D90" s="1">
        <x:f>ROUND(D86*2.25,2)</x:f>
        <x:v>8.7100000000000009</x:v>
      </x:c>
      <x:c r="E90" s="1">
        <x:f>ROUND(E86,2)</x:f>
        <x:v>2.1000000000000001</x:v>
      </x:c>
      <x:c r="F90" s="1">
        <x:f>ROUND(F86*2.2,2)</x:f>
        <x:v>0.83999999999999997</x:v>
      </x:c>
      <x:c r="G90" s="1">
        <x:f>IF(G86*1.4&lt;=1,G86*1.4,1)</x:f>
        <x:v>0.0041999999999999998</x:v>
      </x:c>
      <x:c r="H90" s="1">
        <x:f>ROUND(H86*1.5,2)</x:f>
        <x:v>9.9000000000000004</x:v>
      </x:c>
      <x:c r="I90" s="1">
        <x:f>ROUND(I82*2,2)</x:f>
        <x:v>1</x:v>
      </x:c>
      <x:c r="J90" s="1">
        <x:v>60</x:v>
      </x:c>
      <x:c r="K90" s="1">
        <x:v>10</x:v>
      </x:c>
      <x:c r="L90" s="1">
        <x:f>L82*1.5</x:f>
        <x:v>1.7999999999999998</x:v>
      </x:c>
      <x:c r="O90" s="3">
        <x:f t="shared" si="25"/>
        <x:v>438.98000000000002</x:v>
      </x:c>
      <x:c r="P90" s="3">
        <x:f t="shared" si="26"/>
        <x:v>459.07999999999998</x:v>
      </x:c>
      <x:c r="R90" s="3">
        <x:f t="shared" si="24"/>
        <x:v>479.72000000000003</x:v>
      </x:c>
      <x:c r="S90" s="3">
        <x:f t="shared" si="24"/>
        <x:v>530</x:v>
      </x:c>
      <x:c r="U90" s="4">
        <x:f>O90-$R$10</x:f>
        <x:v>-40.740000000000009</x:v>
      </x:c>
      <x:c r="V90" s="4">
        <x:f>P90-$S$10</x:f>
        <x:v>-70.920000000000016</x:v>
      </x:c>
    </x:row>
    <x:row r="91" spans="1:22">
      <x:c r="A91" s="1">
        <x:f t="shared" si="28"/>
        <x:v>3205</x:v>
      </x:c>
      <x:c r="B91" s="1" t="str">
        <x:f>B83</x:f>
        <x:v>(단일) 도끼 타워</x:v>
      </x:c>
      <x:c r="C91" s="1">
        <x:v>1</x:v>
      </x:c>
      <x:c r="D91" s="1">
        <x:f>ROUND(D87*2,2)</x:f>
        <x:v>8.5</x:v>
      </x:c>
      <x:c r="E91" s="1">
        <x:f>ROUND(E87,2)</x:f>
        <x:v>2.1000000000000001</x:v>
      </x:c>
      <x:c r="F91" s="1">
        <x:f>ROUND(F87*2.4,2)</x:f>
        <x:v>1.0600000000000001</x:v>
      </x:c>
      <x:c r="G91" s="1">
        <x:f>IF(G87*1.4&lt;=1,G87*1.4,1)</x:f>
        <x:v>0.0075599999999999989</x:v>
      </x:c>
      <x:c r="H91" s="1">
        <x:f>ROUND(H87*1.5,2)</x:f>
        <x:v>7.5599999999999996</x:v>
      </x:c>
      <x:c r="I91" s="1">
        <x:f t="shared" si="27"/>
        <x:v>0</x:v>
      </x:c>
      <x:c r="J91" s="1">
        <x:v>0</x:v>
      </x:c>
      <x:c r="K91" s="1">
        <x:v>15</x:v>
      </x:c>
      <x:c r="L91" s="1">
        <x:v>0</x:v>
      </x:c>
      <x:c r="O91" s="3">
        <x:f t="shared" si="25"/>
        <x:v>540.60000000000002</x:v>
      </x:c>
      <x:c r="P91" s="3">
        <x:f t="shared" si="26"/>
        <x:v>575.58000000000004</x:v>
      </x:c>
      <x:c r="R91" s="3">
        <x:f t="shared" si="24"/>
        <x:v>612.57000000000005</x:v>
      </x:c>
      <x:c r="S91" s="3">
        <x:f t="shared" si="24"/>
        <x:v>699.50999999999999</x:v>
      </x:c>
      <x:c r="U91" s="5">
        <x:f>O91-$R$11</x:f>
        <x:v>-71.970000000000027</x:v>
      </x:c>
      <x:c r="V91" s="5">
        <x:f>P91-$S$11</x:f>
        <x:v>-123.92999999999995</x:v>
      </x:c>
    </x:row>
    <x:row r="92" spans="1:22">
      <x:c r="A92" s="1">
        <x:f t="shared" si="28"/>
        <x:v>3305</x:v>
      </x:c>
      <x:c r="B92" s="1" t="str">
        <x:f>B84</x:f>
        <x:v>(함정) 도끼 타워</x:v>
      </x:c>
      <x:c r="C92" s="1">
        <x:v>1</x:v>
      </x:c>
      <x:c r="D92" s="1">
        <x:f>ROUND(D88*2.5,2)</x:f>
        <x:v>15</x:v>
      </x:c>
      <x:c r="E92" s="1">
        <x:f>ROUND(E88,2)</x:f>
        <x:v>2.1000000000000001</x:v>
      </x:c>
      <x:c r="F92" s="1">
        <x:f>ROUND(F88*2.2,2)</x:f>
        <x:v>0.23999999999999999</x:v>
      </x:c>
      <x:c r="G92" s="1">
        <x:v>0</x:v>
      </x:c>
      <x:c r="H92" s="1">
        <x:v>0</x:v>
      </x:c>
      <x:c r="I92" s="1">
        <x:f t="shared" si="27"/>
        <x:v>30</x:v>
      </x:c>
      <x:c r="J92" s="1">
        <x:v>0</x:v>
      </x:c>
      <x:c r="K92" s="1">
        <x:v>1</x:v>
      </x:c>
      <x:c r="L92" s="1">
        <x:f>L84*1.5</x:f>
        <x:v>2.25</x:v>
      </x:c>
      <x:c r="O92" s="3">
        <x:f t="shared" si="25"/>
        <x:v>216</x:v>
      </x:c>
      <x:c r="P92" s="3">
        <x:f t="shared" si="26"/>
        <x:v>216</x:v>
      </x:c>
      <x:c r="R92" s="3">
        <x:f t="shared" si="24"/>
        <x:v>208.80000000000001</x:v>
      </x:c>
      <x:c r="S92" s="3">
        <x:f t="shared" si="24"/>
        <x:v>208.80000000000001</x:v>
      </x:c>
      <x:c r="U92" s="6">
        <x:f>O92-$R$12</x:f>
        <x:v>7.1999999999999886</x:v>
      </x:c>
      <x:c r="V92" s="6">
        <x:f>P92-$S$12</x:f>
        <x:v>7.1999999999999886</x:v>
      </x:c>
    </x:row>
    <x:row r="93" spans="1:22">
      <x:c r="A93" s="1">
        <x:f t="shared" si="28"/>
        <x:v>3405</x:v>
      </x:c>
      <x:c r="B93" s="1" t="str">
        <x:f>B85</x:f>
        <x:v>(버프) 도끼 타워</x:v>
      </x:c>
      <x:c r="C93" s="1">
        <x:v>1</x:v>
      </x:c>
      <x:c r="D93" s="1">
        <x:v>0</x:v>
      </x:c>
      <x:c r="E93" s="1">
        <x:f>E89+1</x:f>
        <x:v>2</x:v>
      </x:c>
      <x:c r="F93" s="1">
        <x:v>1</x:v>
      </x:c>
      <x:c r="G93" s="1">
        <x:v>0</x:v>
      </x:c>
      <x:c r="H93" s="1">
        <x:v>0</x:v>
      </x:c>
      <x:c r="I93" s="1">
        <x:f t="shared" si="27"/>
        <x:v>1</x:v>
      </x:c>
      <x:c r="J93" s="1" t="e">
        <x:f>IF(#REF!="Buff",2,60)</x:f>
        <x:v>#REF!</x:v>
      </x:c>
      <x:c r="K93" s="1">
        <x:v>1</x:v>
      </x:c>
      <x:c r="L93" s="1">
        <x:v>0</x:v>
      </x:c>
      <x:c r="O93" s="3">
        <x:f t="shared" si="25"/>
        <x:v>0</x:v>
      </x:c>
      <x:c r="P93" s="3">
        <x:f t="shared" si="26"/>
        <x:v>0</x:v>
      </x:c>
      <x:c r="R93" s="3">
        <x:f t="shared" si="24"/>
        <x:v>22.5</x:v>
      </x:c>
      <x:c r="S93" s="3">
        <x:f t="shared" si="24"/>
        <x:v>22.5</x:v>
      </x:c>
      <x:c r="U93" s="7">
        <x:f>O93-$R$13</x:f>
        <x:v>-22.5</x:v>
      </x:c>
      <x:c r="V93" s="7">
        <x:f>P93-$S$13</x:f>
        <x:v>-22.5</x:v>
      </x:c>
    </x:row>
    <x:row r="94" spans="1:22">
      <x:c r="A94" s="1">
        <x:f t="shared" si="28"/>
        <x:v>4105</x:v>
      </x:c>
      <x:c r="B94" s="1" t="str">
        <x:f>B82</x:f>
        <x:v>(광역) 도끼 타워</x:v>
      </x:c>
      <x:c r="C94" s="1">
        <x:v>1</x:v>
      </x:c>
      <x:c r="D94" s="1">
        <x:f>ROUND(D90*3,2)</x:f>
        <x:v>26.129999999999999</x:v>
      </x:c>
      <x:c r="E94" s="1">
        <x:f>ROUND(E90*1.1,2)</x:f>
        <x:v>2.3100000000000001</x:v>
      </x:c>
      <x:c r="F94" s="1">
        <x:f>ROUND(F90*2.5,2)</x:f>
        <x:v>2.1000000000000001</x:v>
      </x:c>
      <x:c r="G94" s="1">
        <x:f>IF(G90*1.6&lt;=1,G90*1.6,1)</x:f>
        <x:v>0.0067200000000000004</x:v>
      </x:c>
      <x:c r="H94" s="1">
        <x:f>ROUND(H90*2,2)</x:f>
        <x:v>19.800000000000001</x:v>
      </x:c>
      <x:c r="I94" s="1">
        <x:f>ROUND(I82*3,2)</x:f>
        <x:v>1.5</x:v>
      </x:c>
      <x:c r="J94" s="1">
        <x:v>150</x:v>
      </x:c>
      <x:c r="K94" s="1">
        <x:v>10</x:v>
      </x:c>
      <x:c r="L94" s="1">
        <x:f>L82*2</x:f>
        <x:v>2.3999999999999999</x:v>
      </x:c>
      <x:c r="O94" s="3">
        <x:f t="shared" si="25"/>
        <x:v>3292.3800000000001</x:v>
      </x:c>
      <x:c r="P94" s="3">
        <x:f t="shared" si="26"/>
        <x:v>3752.5799999999999</x:v>
      </x:c>
      <x:c r="R94" s="3">
        <x:f t="shared" si="24"/>
        <x:v>3601.5900000000001</x:v>
      </x:c>
      <x:c r="S94" s="3">
        <x:f t="shared" si="24"/>
        <x:v>4306.1000000000004</x:v>
      </x:c>
      <x:c r="U94" s="4">
        <x:f>O94-$R$14</x:f>
        <x:v>-309.21000000000004</x:v>
      </x:c>
      <x:c r="V94" s="4">
        <x:f>P94-$S$14</x:f>
        <x:v>-553.52000000000044</x:v>
      </x:c>
    </x:row>
    <x:row r="95" spans="1:22">
      <x:c r="A95" s="1">
        <x:f t="shared" si="28"/>
        <x:v>4205</x:v>
      </x:c>
      <x:c r="B95" s="1" t="str">
        <x:f>B83</x:f>
        <x:v>(단일) 도끼 타워</x:v>
      </x:c>
      <x:c r="C95" s="1">
        <x:v>1</x:v>
      </x:c>
      <x:c r="D95" s="1">
        <x:f>ROUND(D91*3,2)</x:f>
        <x:v>25.5</x:v>
      </x:c>
      <x:c r="E95" s="1">
        <x:f>ROUND(E91*1.1,2)</x:f>
        <x:v>2.3100000000000001</x:v>
      </x:c>
      <x:c r="F95" s="1">
        <x:f>ROUND(F91*2.75,2)</x:f>
        <x:v>2.9199999999999999</x:v>
      </x:c>
      <x:c r="G95" s="1">
        <x:f>IF(G91*1.6&lt;=1,G91*1.6,1)</x:f>
        <x:v>0.012095999999999998</x:v>
      </x:c>
      <x:c r="H95" s="1">
        <x:f>ROUND(H91*2,2)</x:f>
        <x:v>15.119999999999999</x:v>
      </x:c>
      <x:c r="I95" s="1">
        <x:f t="shared" si="27"/>
        <x:v>0</x:v>
      </x:c>
      <x:c r="J95" s="1">
        <x:v>0</x:v>
      </x:c>
      <x:c r="K95" s="1">
        <x:v>15</x:v>
      </x:c>
      <x:c r="L95" s="1">
        <x:v>0</x:v>
      </x:c>
      <x:c r="O95" s="3">
        <x:f t="shared" si="25"/>
        <x:v>4467.6000000000004</x:v>
      </x:c>
      <x:c r="P95" s="3">
        <x:f t="shared" si="26"/>
        <x:v>5338.7299999999996</x:v>
      </x:c>
      <x:c r="R95" s="3">
        <x:f t="shared" si="24"/>
        <x:v>5055.3500000000004</x:v>
      </x:c>
      <x:c r="S95" s="3">
        <x:f t="shared" si="24"/>
        <x:v>6489.9499999999998</x:v>
      </x:c>
      <x:c r="U95" s="5">
        <x:f>O95-$R$15</x:f>
        <x:v>-587.75</x:v>
      </x:c>
      <x:c r="V95" s="5">
        <x:f>P95-$S$15</x:f>
        <x:v>-1151.2200000000003</x:v>
      </x:c>
    </x:row>
    <x:row r="96" spans="1:22">
      <x:c r="A96" s="1">
        <x:f t="shared" si="28"/>
        <x:v>4305</x:v>
      </x:c>
      <x:c r="B96" s="1" t="str">
        <x:f>B84</x:f>
        <x:v>(함정) 도끼 타워</x:v>
      </x:c>
      <x:c r="C96" s="1">
        <x:v>1</x:v>
      </x:c>
      <x:c r="D96" s="1">
        <x:f>ROUND(D92*3,2)</x:f>
        <x:v>45</x:v>
      </x:c>
      <x:c r="E96" s="1">
        <x:f>ROUND(E92*1.1,2)</x:f>
        <x:v>2.3100000000000001</x:v>
      </x:c>
      <x:c r="F96" s="1">
        <x:f>ROUND(F92*2.5,2)</x:f>
        <x:v>0.59999999999999998</x:v>
      </x:c>
      <x:c r="G96" s="1">
        <x:v>0</x:v>
      </x:c>
      <x:c r="H96" s="1">
        <x:v>0</x:v>
      </x:c>
      <x:c r="I96" s="1">
        <x:f t="shared" si="27"/>
        <x:v>30</x:v>
      </x:c>
      <x:c r="J96" s="1">
        <x:v>0</x:v>
      </x:c>
      <x:c r="K96" s="1">
        <x:v>1</x:v>
      </x:c>
      <x:c r="L96" s="1">
        <x:f>L84*2</x:f>
        <x:v>3</x:v>
      </x:c>
      <x:c r="O96" s="3">
        <x:f t="shared" si="25"/>
        <x:v>1620</x:v>
      </x:c>
      <x:c r="P96" s="3">
        <x:f t="shared" si="26"/>
        <x:v>1620</x:v>
      </x:c>
      <x:c r="R96" s="3">
        <x:f t="shared" si="24"/>
        <x:v>1570.5</x:v>
      </x:c>
      <x:c r="S96" s="3">
        <x:f t="shared" si="24"/>
        <x:v>1570.5</x:v>
      </x:c>
      <x:c r="U96" s="6">
        <x:f>O96-$R$16</x:f>
        <x:v>49.5</x:v>
      </x:c>
      <x:c r="V96" s="6">
        <x:f>P96-$S$16</x:f>
        <x:v>49.5</x:v>
      </x:c>
    </x:row>
    <x:row r="97" spans="1:22">
      <x:c r="A97" s="1">
        <x:f t="shared" si="28"/>
        <x:v>4405</x:v>
      </x:c>
      <x:c r="B97" s="1" t="str">
        <x:f>B85</x:f>
        <x:v>(버프) 도끼 타워</x:v>
      </x:c>
      <x:c r="C97" s="1">
        <x:v>1</x:v>
      </x:c>
      <x:c r="D97" s="1">
        <x:v>0</x:v>
      </x:c>
      <x:c r="E97" s="1">
        <x:f>E93+2</x:f>
        <x:v>4</x:v>
      </x:c>
      <x:c r="F97" s="1">
        <x:v>1</x:v>
      </x:c>
      <x:c r="G97" s="1">
        <x:v>0</x:v>
      </x:c>
      <x:c r="H97" s="1">
        <x:v>0</x:v>
      </x:c>
      <x:c r="I97" s="1">
        <x:f t="shared" si="27"/>
        <x:v>1</x:v>
      </x:c>
      <x:c r="J97" s="1" t="e">
        <x:f>IF(#REF!="Buff",3,150)</x:f>
        <x:v>#REF!</x:v>
      </x:c>
      <x:c r="K97" s="1">
        <x:v>1</x:v>
      </x:c>
      <x:c r="L97" s="1">
        <x:v>0</x:v>
      </x:c>
      <x:c r="O97" s="3">
        <x:f t="shared" si="25"/>
        <x:v>0</x:v>
      </x:c>
      <x:c r="P97" s="3">
        <x:f t="shared" si="26"/>
        <x:v>0</x:v>
      </x:c>
      <x:c r="R97" s="3">
        <x:f t="shared" si="24"/>
        <x:v>37.5</x:v>
      </x:c>
      <x:c r="S97" s="3">
        <x:f t="shared" si="24"/>
        <x:v>37.5</x:v>
      </x:c>
      <x:c r="U97" s="7">
        <x:f>O97-$R$17</x:f>
        <x:v>-37.5</x:v>
      </x:c>
      <x:c r="V97" s="7">
        <x:f>P97-$S$17</x:f>
        <x:v>-37.5</x:v>
      </x:c>
    </x:row>
    <x:row r="98" spans="1:22">
      <x:c r="A98" s="1">
        <x:f t="shared" si="28"/>
        <x:v>5105</x:v>
      </x:c>
      <x:c r="B98" s="1" t="str">
        <x:f>B82</x:f>
        <x:v>(광역) 도끼 타워</x:v>
      </x:c>
      <x:c r="C98" s="1">
        <x:v>1</x:v>
      </x:c>
      <x:c r="D98" s="1">
        <x:f>ROUND(D94*4.2,2)</x:f>
        <x:v>109.75</x:v>
      </x:c>
      <x:c r="E98" s="1">
        <x:f>ROUND(E94*1.25,2)</x:f>
        <x:v>2.8900000000000001</x:v>
      </x:c>
      <x:c r="F98" s="1">
        <x:f>ROUND(F94*3,2)</x:f>
        <x:v>6.2999999999999998</x:v>
      </x:c>
      <x:c r="G98" s="1">
        <x:f>IF(G94*1.8&lt;=1,G94*1.8,1)</x:f>
        <x:v>0.012096000000000001</x:v>
      </x:c>
      <x:c r="H98" s="1">
        <x:f>ROUND(H94*2.8,2)</x:f>
        <x:v>55.439999999999998</x:v>
      </x:c>
      <x:c r="I98" s="1">
        <x:f>ROUND(I82*5,2)</x:f>
        <x:v>2.5</x:v>
      </x:c>
      <x:c r="J98" s="1">
        <x:v>525</x:v>
      </x:c>
      <x:c r="K98" s="1">
        <x:v>10</x:v>
      </x:c>
      <x:c r="L98" s="1">
        <x:f>L82*3</x:f>
        <x:v>3.5999999999999996</x:v>
      </x:c>
      <x:c r="O98" s="3">
        <x:f t="shared" si="25"/>
        <x:v>41485.5</x:v>
      </x:c>
      <x:c r="P98" s="3">
        <x:f t="shared" si="26"/>
        <x:v>69807.580000000002</x:v>
      </x:c>
      <x:c r="R98" s="3">
        <x:f t="shared" si="24"/>
        <x:v>45381.339999999997</x:v>
      </x:c>
      <x:c r="S98" s="3">
        <x:f t="shared" si="24"/>
        <x:v>69583.229999999996</x:v>
      </x:c>
      <x:c r="U98" s="4">
        <x:f>O98-$R$18</x:f>
        <x:v>-3895.8399999999965</x:v>
      </x:c>
      <x:c r="V98" s="4">
        <x:f>P98-$S$18</x:f>
        <x:v>224.35000000000582</x:v>
      </x:c>
    </x:row>
    <x:row r="99" spans="1:22">
      <x:c r="A99" s="1">
        <x:f t="shared" si="28"/>
        <x:v>5205</x:v>
      </x:c>
      <x:c r="B99" s="1" t="str">
        <x:f>B83</x:f>
        <x:v>(단일) 도끼 타워</x:v>
      </x:c>
      <x:c r="C99" s="1">
        <x:v>1</x:v>
      </x:c>
      <x:c r="D99" s="1">
        <x:f>ROUND(D95*5,2)</x:f>
        <x:v>127.5</x:v>
      </x:c>
      <x:c r="E99" s="1">
        <x:f t="shared" ref="E99:E100" si="29">ROUND(E95*1.25,2)</x:f>
        <x:v>2.8900000000000001</x:v>
      </x:c>
      <x:c r="F99" s="1">
        <x:f>ROUND(F95*4,2)</x:f>
        <x:v>11.68</x:v>
      </x:c>
      <x:c r="G99" s="1">
        <x:f>IF(G95*1.8&lt;=1,G95*1.8,1)</x:f>
        <x:v>0.021772799999999998</x:v>
      </x:c>
      <x:c r="H99" s="1">
        <x:f>ROUND(H95*2.8,2)</x:f>
        <x:v>42.340000000000003</x:v>
      </x:c>
      <x:c r="I99" s="1">
        <x:f t="shared" si="27"/>
        <x:v>0</x:v>
      </x:c>
      <x:c r="J99" s="1">
        <x:v>0</x:v>
      </x:c>
      <x:c r="K99" s="1">
        <x:v>15</x:v>
      </x:c>
      <x:c r="L99" s="1">
        <x:v>0</x:v>
      </x:c>
      <x:c r="O99" s="3">
        <x:f t="shared" si="25"/>
        <x:v>89352</x:v>
      </x:c>
      <x:c r="P99" s="3">
        <x:f t="shared" si="26"/>
        <x:v>173667.51000000001</x:v>
      </x:c>
      <x:c r="R99" s="3">
        <x:f t="shared" si="24"/>
        <x:v>101106.89999999999</x:v>
      </x:c>
      <x:c r="S99" s="3">
        <x:f t="shared" si="24"/>
        <x:v>189869.89999999999</x:v>
      </x:c>
      <x:c r="U99" s="5">
        <x:f>O99-$R$19</x:f>
        <x:v>-11754.899999999994</x:v>
      </x:c>
      <x:c r="V99" s="5">
        <x:f>P99-$S$19</x:f>
        <x:v>-16202.389999999985</x:v>
      </x:c>
    </x:row>
    <x:row r="100" spans="1:22">
      <x:c r="A100" s="1">
        <x:f t="shared" si="28"/>
        <x:v>5305</x:v>
      </x:c>
      <x:c r="B100" s="1" t="str">
        <x:f>B84</x:f>
        <x:v>(함정) 도끼 타워</x:v>
      </x:c>
      <x:c r="C100" s="1">
        <x:v>1</x:v>
      </x:c>
      <x:c r="D100" s="1">
        <x:f>ROUND(D96*5,2)</x:f>
        <x:v>225</x:v>
      </x:c>
      <x:c r="E100" s="1">
        <x:f t="shared" si="29"/>
        <x:v>2.8900000000000001</x:v>
      </x:c>
      <x:c r="F100" s="1">
        <x:f>ROUND(F96*3,2)</x:f>
        <x:v>1.8</x:v>
      </x:c>
      <x:c r="G100" s="1">
        <x:v>0</x:v>
      </x:c>
      <x:c r="H100" s="1">
        <x:v>0</x:v>
      </x:c>
      <x:c r="I100" s="1">
        <x:f t="shared" si="27"/>
        <x:v>30</x:v>
      </x:c>
      <x:c r="J100" s="1">
        <x:v>0</x:v>
      </x:c>
      <x:c r="K100" s="1">
        <x:v>1</x:v>
      </x:c>
      <x:c r="L100" s="1">
        <x:f>L84*3</x:f>
        <x:v>4.5</x:v>
      </x:c>
      <x:c r="O100" s="3">
        <x:f t="shared" si="25"/>
        <x:v>24300</x:v>
      </x:c>
      <x:c r="P100" s="3">
        <x:f t="shared" si="26"/>
        <x:v>24300</x:v>
      </x:c>
      <x:c r="R100" s="3">
        <x:f t="shared" si="24"/>
        <x:v>23557.5</x:v>
      </x:c>
      <x:c r="S100" s="3">
        <x:f t="shared" si="24"/>
        <x:v>23557.5</x:v>
      </x:c>
      <x:c r="U100" s="6">
        <x:f>O100-$R$20</x:f>
        <x:v>742.5</x:v>
      </x:c>
      <x:c r="V100" s="6">
        <x:f>P100-$S$20</x:f>
        <x:v>742.5</x:v>
      </x:c>
    </x:row>
    <x:row r="101" spans="1:22">
      <x:c r="A101" s="1">
        <x:f t="shared" si="28"/>
        <x:v>5405</x:v>
      </x:c>
      <x:c r="B101" s="1" t="str">
        <x:f>B85</x:f>
        <x:v>(버프) 도끼 타워</x:v>
      </x:c>
      <x:c r="C101" s="1">
        <x:v>1</x:v>
      </x:c>
      <x:c r="D101" s="1">
        <x:v>0</x:v>
      </x:c>
      <x:c r="E101" s="1">
        <x:f>E97+3</x:f>
        <x:v>7</x:v>
      </x:c>
      <x:c r="F101" s="1">
        <x:v>1</x:v>
      </x:c>
      <x:c r="G101" s="1">
        <x:v>0</x:v>
      </x:c>
      <x:c r="H101" s="1">
        <x:v>0</x:v>
      </x:c>
      <x:c r="I101" s="1">
        <x:f t="shared" si="27"/>
        <x:v>1</x:v>
      </x:c>
      <x:c r="J101" s="1" t="e">
        <x:f>IF(#REF!="Buff",5,525)</x:f>
        <x:v>#REF!</x:v>
      </x:c>
      <x:c r="K101" s="1">
        <x:v>1</x:v>
      </x:c>
      <x:c r="L101" s="1">
        <x:v>0</x:v>
      </x:c>
      <x:c r="O101" s="3">
        <x:f t="shared" si="25"/>
        <x:v>0</x:v>
      </x:c>
      <x:c r="P101" s="3">
        <x:f t="shared" si="26"/>
        <x:v>0</x:v>
      </x:c>
      <x:c r="R101" s="3">
        <x:f t="shared" si="24"/>
        <x:v>75</x:v>
      </x:c>
      <x:c r="S101" s="3">
        <x:f t="shared" si="24"/>
        <x:v>75</x:v>
      </x:c>
      <x:c r="U101" s="7">
        <x:f>O101-$R$21</x:f>
        <x:v>-75</x:v>
      </x:c>
      <x:c r="V101" s="7">
        <x:f>P101-$S$21</x:f>
        <x:v>-75</x:v>
      </x:c>
    </x:row>
    <x:row r="102" spans="1:22">
      <x:c r="A102" s="1">
        <x:v>1106</x:v>
      </x:c>
      <x:c r="B102" s="1" t="s">
        <x:v>37</x:v>
      </x:c>
      <x:c r="C102" s="1">
        <x:v>1</x:v>
      </x:c>
      <x:c r="D102" s="1">
        <x:v>4.0999999999999996</x:v>
      </x:c>
      <x:c r="E102" s="1">
        <x:v>2.5</x:v>
      </x:c>
      <x:c r="F102" s="1">
        <x:v>0.12</x:v>
      </x:c>
      <x:c r="G102" s="1">
        <x:v>0.010000000000000001</x:v>
      </x:c>
      <x:c r="H102" s="1">
        <x:v>0.028000000000000003</x:v>
      </x:c>
      <x:c r="I102" s="1">
        <x:v>0.5</x:v>
      </x:c>
      <x:c r="J102" s="1">
        <x:v>10</x:v>
      </x:c>
      <x:c r="K102" s="1">
        <x:v>10</x:v>
      </x:c>
      <x:c r="L102" s="1">
        <x:v>3</x:v>
      </x:c>
      <x:c r="O102" s="3">
        <x:f>ROUND(60*(D102*F102),2)</x:f>
        <x:v>29.52</x:v>
      </x:c>
      <x:c r="P102" s="3">
        <x:f>ROUND((O102*G102*(2+H102))+O102*(1-G102),2)</x:f>
        <x:v>29.82</x:v>
      </x:c>
      <x:c r="R102" s="3">
        <x:f t="shared" ref="R102:S121" si="30">R2</x:f>
        <x:v>25.539999999999999</x:v>
      </x:c>
      <x:c r="S102" s="3">
        <x:f t="shared" si="30"/>
        <x:v>27.010000000000002</x:v>
      </x:c>
      <x:c r="U102" s="4">
        <x:f>O102-$R$2</x:f>
        <x:v>3.9800000000000004</x:v>
      </x:c>
      <x:c r="V102" s="4">
        <x:f>P102-$S$2</x:f>
        <x:v>2.8099999999999987</x:v>
      </x:c>
    </x:row>
    <x:row r="103" spans="1:22">
      <x:c r="A103" s="1">
        <x:f>A102+100</x:f>
        <x:v>1206</x:v>
      </x:c>
      <x:c r="B103" s="1" t="s">
        <x:v>44</x:v>
      </x:c>
      <x:c r="C103" s="1">
        <x:v>1</x:v>
      </x:c>
      <x:c r="D103" s="1">
        <x:v>3.3999999999999999</x:v>
      </x:c>
      <x:c r="E103" s="1">
        <x:v>2.5</x:v>
      </x:c>
      <x:c r="F103" s="1">
        <x:v>0.17999999999999999</x:v>
      </x:c>
      <x:c r="G103" s="1">
        <x:v>0.020000000000000001</x:v>
      </x:c>
      <x:c r="H103" s="1">
        <x:v>0.019</x:v>
      </x:c>
      <x:c r="I103" s="1">
        <x:v>0</x:v>
      </x:c>
      <x:c r="J103" s="1">
        <x:v>0</x:v>
      </x:c>
      <x:c r="K103" s="1">
        <x:v>15</x:v>
      </x:c>
      <x:c r="L103" s="1">
        <x:v>0</x:v>
      </x:c>
      <x:c r="O103" s="3">
        <x:f t="shared" ref="O103:O121" si="31">ROUND(60*(D103*F103),2)</x:f>
        <x:v>36.719999999999999</x:v>
      </x:c>
      <x:c r="P103" s="3">
        <x:f t="shared" ref="P103:P121" si="32">ROUND((O103*G103*(2+H103))+O103*(1-G103),2)</x:f>
        <x:v>37.469999999999999</x:v>
      </x:c>
      <x:c r="R103" s="3">
        <x:f t="shared" si="30"/>
        <x:v>33.960000000000001</x:v>
      </x:c>
      <x:c r="S103" s="3">
        <x:f t="shared" si="30"/>
        <x:v>36.509999999999998</x:v>
      </x:c>
      <x:c r="U103" s="5">
        <x:f>O103-$R$3</x:f>
        <x:v>2.759999999999998</x:v>
      </x:c>
      <x:c r="V103" s="5">
        <x:f>P103-$S$3</x:f>
        <x:v>0.96000000000000085</x:v>
      </x:c>
    </x:row>
    <x:row r="104" spans="1:22">
      <x:c r="A104" s="1">
        <x:f>A102+200</x:f>
        <x:v>1306</x:v>
      </x:c>
      <x:c r="B104" s="1" t="s">
        <x:v>4</x:v>
      </x:c>
      <x:c r="C104" s="1">
        <x:v>1</x:v>
      </x:c>
      <x:c r="D104" s="1">
        <x:v>3.2000000000000002</x:v>
      </x:c>
      <x:c r="E104" s="1">
        <x:v>2.5</x:v>
      </x:c>
      <x:c r="F104" s="1">
        <x:v>0.05</x:v>
      </x:c>
      <x:c r="G104" s="1">
        <x:v>0</x:v>
      </x:c>
      <x:c r="H104" s="1">
        <x:v>0</x:v>
      </x:c>
      <x:c r="I104" s="1">
        <x:v>30</x:v>
      </x:c>
      <x:c r="J104" s="1">
        <x:v>0</x:v>
      </x:c>
      <x:c r="K104" s="1">
        <x:v>1</x:v>
      </x:c>
      <x:c r="L104" s="1">
        <x:v>2</x:v>
      </x:c>
      <x:c r="O104" s="3">
        <x:f t="shared" si="31"/>
        <x:v>9.5999999999999996</x:v>
      </x:c>
      <x:c r="P104" s="3">
        <x:f t="shared" si="32"/>
        <x:v>9.5999999999999996</x:v>
      </x:c>
      <x:c r="R104" s="3">
        <x:f t="shared" si="30"/>
        <x:v>9.0800000000000001</x:v>
      </x:c>
      <x:c r="S104" s="3">
        <x:f t="shared" si="30"/>
        <x:v>9.0800000000000001</x:v>
      </x:c>
      <x:c r="U104" s="6">
        <x:f>O104-$R$4</x:f>
        <x:v>0.51999999999999957</x:v>
      </x:c>
      <x:c r="V104" s="6">
        <x:f>P104-$S$4</x:f>
        <x:v>0.51999999999999957</x:v>
      </x:c>
    </x:row>
    <x:row r="105" spans="1:22">
      <x:c r="A105" s="1">
        <x:f>A102+300</x:f>
        <x:v>1406</x:v>
      </x:c>
      <x:c r="B105" s="1" t="s">
        <x:v>14</x:v>
      </x:c>
      <x:c r="C105" s="1">
        <x:v>1</x:v>
      </x:c>
      <x:c r="D105" s="1">
        <x:v>0</x:v>
      </x:c>
      <x:c r="E105" s="1">
        <x:v>1</x:v>
      </x:c>
      <x:c r="F105" s="1">
        <x:v>1</x:v>
      </x:c>
      <x:c r="G105" s="1">
        <x:v>0</x:v>
      </x:c>
      <x:c r="H105" s="1">
        <x:v>0</x:v>
      </x:c>
      <x:c r="I105" s="1">
        <x:v>1</x:v>
      </x:c>
      <x:c r="J105" s="1">
        <x:v>10</x:v>
      </x:c>
      <x:c r="K105" s="1">
        <x:v>1</x:v>
      </x:c>
      <x:c r="L105" s="1">
        <x:v>0</x:v>
      </x:c>
      <x:c r="O105" s="3">
        <x:f t="shared" si="31"/>
        <x:v>0</x:v>
      </x:c>
      <x:c r="P105" s="3">
        <x:f t="shared" si="32"/>
        <x:v>0</x:v>
      </x:c>
      <x:c r="R105" s="3">
        <x:f t="shared" si="30"/>
        <x:v>7.5</x:v>
      </x:c>
      <x:c r="S105" s="3">
        <x:f t="shared" si="30"/>
        <x:v>7.5</x:v>
      </x:c>
      <x:c r="U105" s="7">
        <x:f>O105-$R$5</x:f>
        <x:v>-7.5</x:v>
      </x:c>
      <x:c r="V105" s="7">
        <x:f>P105-$S$5</x:f>
        <x:v>-7.5</x:v>
      </x:c>
    </x:row>
    <x:row r="106" spans="1:22">
      <x:c r="A106" s="1">
        <x:f>A102+1000</x:f>
        <x:v>2106</x:v>
      </x:c>
      <x:c r="B106" s="1" t="str">
        <x:f>B102</x:f>
        <x:v>(광역) 불 타워</x:v>
      </x:c>
      <x:c r="C106" s="1">
        <x:v>1</x:v>
      </x:c>
      <x:c r="D106" s="1">
        <x:f>ROUND(D102*1.8,2)</x:f>
        <x:v>7.3799999999999999</x:v>
      </x:c>
      <x:c r="E106" s="1">
        <x:f>ROUND(E102,2)</x:f>
        <x:v>2.5</x:v>
      </x:c>
      <x:c r="F106" s="1">
        <x:f>ROUND(F102*2.1,2)</x:f>
        <x:v>0.25</x:v>
      </x:c>
      <x:c r="G106" s="1">
        <x:f>IF(G102*1.2&lt;=1,G102*1.2,1)</x:f>
        <x:v>0.012</x:v>
      </x:c>
      <x:c r="H106" s="1">
        <x:f>ROUND(H102*1.2,2)</x:f>
        <x:v>0.029999999999999999</x:v>
      </x:c>
      <x:c r="I106" s="1">
        <x:f>ROUND(I102*1.5,2)</x:f>
        <x:v>0.75</x:v>
      </x:c>
      <x:c r="J106" s="1">
        <x:v>50</x:v>
      </x:c>
      <x:c r="K106" s="1">
        <x:v>10</x:v>
      </x:c>
      <x:c r="L106" s="1">
        <x:f>L102</x:f>
        <x:v>3</x:v>
      </x:c>
      <x:c r="O106" s="3">
        <x:f t="shared" si="31"/>
        <x:v>110.7</x:v>
      </x:c>
      <x:c r="P106" s="3">
        <x:f t="shared" si="32"/>
        <x:v>112.06999999999999</x:v>
      </x:c>
      <x:c r="R106" s="3">
        <x:f t="shared" si="30"/>
        <x:v>96.689999999999998</x:v>
      </x:c>
      <x:c r="S106" s="3">
        <x:f t="shared" si="30"/>
        <x:v>103.51000000000001</x:v>
      </x:c>
      <x:c r="U106" s="4">
        <x:f>O106-$R$6</x:f>
        <x:v>14.010000000000005</x:v>
      </x:c>
      <x:c r="V106" s="4">
        <x:f>P106-$S$6</x:f>
        <x:v>8.5599999999999881</x:v>
      </x:c>
    </x:row>
    <x:row r="107" spans="1:22">
      <x:c r="A107" s="1">
        <x:f>A103+1000</x:f>
        <x:v>2206</x:v>
      </x:c>
      <x:c r="B107" s="1" t="str">
        <x:f>B103</x:f>
        <x:v>(단일) 불 타워</x:v>
      </x:c>
      <x:c r="C107" s="1">
        <x:v>1</x:v>
      </x:c>
      <x:c r="D107" s="1">
        <x:f>ROUND(D103*1.7,2)</x:f>
        <x:v>5.7800000000000002</x:v>
      </x:c>
      <x:c r="E107" s="1">
        <x:f>ROUND(E103,2)</x:f>
        <x:v>2.5</x:v>
      </x:c>
      <x:c r="F107" s="1">
        <x:f>ROUND(F103*2.2,2)</x:f>
        <x:v>0.40000000000000002</x:v>
      </x:c>
      <x:c r="G107" s="1">
        <x:f>IF(G103*1.2&lt;=1,G103*1.2,1)</x:f>
        <x:v>0.023999999999999999</x:v>
      </x:c>
      <x:c r="H107" s="1">
        <x:f>ROUND(H103*1.2,2)</x:f>
        <x:v>0.020000000000000001</x:v>
      </x:c>
      <x:c r="I107" s="1">
        <x:f t="shared" ref="I107:I121" si="33">I103</x:f>
        <x:v>0</x:v>
      </x:c>
      <x:c r="J107" s="1">
        <x:v>0</x:v>
      </x:c>
      <x:c r="K107" s="1">
        <x:v>15</x:v>
      </x:c>
      <x:c r="L107" s="1">
        <x:v>0</x:v>
      </x:c>
      <x:c r="O107" s="3">
        <x:f t="shared" si="31"/>
        <x:v>138.72</x:v>
      </x:c>
      <x:c r="P107" s="3">
        <x:f t="shared" si="32"/>
        <x:v>142.12</x:v>
      </x:c>
      <x:c r="R107" s="3">
        <x:f t="shared" si="30"/>
        <x:v>127.56999999999999</x:v>
      </x:c>
      <x:c r="S107" s="3">
        <x:f t="shared" si="30"/>
        <x:v>139.41</x:v>
      </x:c>
      <x:c r="U107" s="5">
        <x:f>O107-$R$7</x:f>
        <x:v>11.150000000000006</x:v>
      </x:c>
      <x:c r="V107" s="5">
        <x:f>P107-$S$7</x:f>
        <x:v>2.710000000000008</x:v>
      </x:c>
    </x:row>
    <x:row r="108" spans="1:22">
      <x:c r="A108" s="1">
        <x:f t="shared" ref="A108:A121" si="34">A104+1000</x:f>
        <x:v>2306</x:v>
      </x:c>
      <x:c r="B108" s="1" t="str">
        <x:f>B104</x:f>
        <x:v>(함정) 불 타워</x:v>
      </x:c>
      <x:c r="C108" s="1">
        <x:v>1</x:v>
      </x:c>
      <x:c r="D108" s="1">
        <x:f>ROUND(D104*2,2)</x:f>
        <x:v>6.4000000000000004</x:v>
      </x:c>
      <x:c r="E108" s="1">
        <x:f>ROUND(E104,2)</x:f>
        <x:v>2.5</x:v>
      </x:c>
      <x:c r="F108" s="1">
        <x:f>ROUND(F104*2.1,2)</x:f>
        <x:v>0.11</x:v>
      </x:c>
      <x:c r="G108" s="1">
        <x:v>0</x:v>
      </x:c>
      <x:c r="H108" s="1">
        <x:v>0</x:v>
      </x:c>
      <x:c r="I108" s="1">
        <x:f t="shared" si="33"/>
        <x:v>30</x:v>
      </x:c>
      <x:c r="J108" s="1">
        <x:v>0</x:v>
      </x:c>
      <x:c r="K108" s="1">
        <x:v>1</x:v>
      </x:c>
      <x:c r="L108" s="1">
        <x:f>L104</x:f>
        <x:v>2</x:v>
      </x:c>
      <x:c r="O108" s="3">
        <x:f t="shared" si="31"/>
        <x:v>42.240000000000002</x:v>
      </x:c>
      <x:c r="P108" s="3">
        <x:f t="shared" si="32"/>
        <x:v>42.240000000000002</x:v>
      </x:c>
      <x:c r="R108" s="3">
        <x:f t="shared" si="30"/>
        <x:v>38.280000000000001</x:v>
      </x:c>
      <x:c r="S108" s="3">
        <x:f t="shared" si="30"/>
        <x:v>38.280000000000001</x:v>
      </x:c>
      <x:c r="U108" s="6">
        <x:f>O108-$R$8</x:f>
        <x:v>3.9600000000000009</x:v>
      </x:c>
      <x:c r="V108" s="6">
        <x:f>P108-$S$8</x:f>
        <x:v>3.9600000000000009</x:v>
      </x:c>
    </x:row>
    <x:row r="109" spans="1:22">
      <x:c r="A109" s="1">
        <x:f t="shared" si="34"/>
        <x:v>2406</x:v>
      </x:c>
      <x:c r="B109" s="1" t="str">
        <x:f>B105</x:f>
        <x:v>(버프) 불 타워</x:v>
      </x:c>
      <x:c r="C109" s="1">
        <x:v>1</x:v>
      </x:c>
      <x:c r="D109" s="1">
        <x:v>0</x:v>
      </x:c>
      <x:c r="E109" s="1">
        <x:f>E105+0</x:f>
        <x:v>1</x:v>
      </x:c>
      <x:c r="F109" s="1">
        <x:v>1</x:v>
      </x:c>
      <x:c r="G109" s="1">
        <x:v>0</x:v>
      </x:c>
      <x:c r="H109" s="1">
        <x:v>0</x:v>
      </x:c>
      <x:c r="I109" s="1">
        <x:f t="shared" si="33"/>
        <x:v>1</x:v>
      </x:c>
      <x:c r="J109" s="1">
        <x:v>50</x:v>
      </x:c>
      <x:c r="K109" s="1">
        <x:v>1</x:v>
      </x:c>
      <x:c r="L109" s="1">
        <x:v>0</x:v>
      </x:c>
      <x:c r="O109" s="3">
        <x:f t="shared" si="31"/>
        <x:v>0</x:v>
      </x:c>
      <x:c r="P109" s="3">
        <x:f t="shared" si="32"/>
        <x:v>0</x:v>
      </x:c>
      <x:c r="R109" s="3">
        <x:f t="shared" si="30"/>
        <x:v>15</x:v>
      </x:c>
      <x:c r="S109" s="3">
        <x:f t="shared" si="30"/>
        <x:v>15</x:v>
      </x:c>
      <x:c r="U109" s="7">
        <x:f>O109-$R$9</x:f>
        <x:v>-15</x:v>
      </x:c>
      <x:c r="V109" s="7">
        <x:f>P109-$S$9</x:f>
        <x:v>-15</x:v>
      </x:c>
    </x:row>
    <x:row r="110" spans="1:22">
      <x:c r="A110" s="1">
        <x:f t="shared" si="34"/>
        <x:v>3106</x:v>
      </x:c>
      <x:c r="B110" s="1" t="str">
        <x:f>B102</x:f>
        <x:v>(광역) 불 타워</x:v>
      </x:c>
      <x:c r="C110" s="1">
        <x:v>1</x:v>
      </x:c>
      <x:c r="D110" s="1">
        <x:f>ROUND(D106*2.25,2)</x:f>
        <x:v>16.609999999999999</x:v>
      </x:c>
      <x:c r="E110" s="1">
        <x:f>ROUND(E106,2)</x:f>
        <x:v>2.5</x:v>
      </x:c>
      <x:c r="F110" s="1">
        <x:f>ROUND(F106*2.2,2)</x:f>
        <x:v>0.55000000000000004</x:v>
      </x:c>
      <x:c r="G110" s="1">
        <x:f>IF(G106*1.4&lt;=1,G106*1.4,1)</x:f>
        <x:v>0.016799999999999998</x:v>
      </x:c>
      <x:c r="H110" s="1">
        <x:f>ROUND(H106*1.5,2)</x:f>
        <x:v>0.05</x:v>
      </x:c>
      <x:c r="I110" s="1">
        <x:f>ROUND(I102*2,2)</x:f>
        <x:v>1</x:v>
      </x:c>
      <x:c r="J110" s="1">
        <x:v>120</x:v>
      </x:c>
      <x:c r="K110" s="1">
        <x:v>10</x:v>
      </x:c>
      <x:c r="L110" s="1">
        <x:f>L102*1.5</x:f>
        <x:v>4.5</x:v>
      </x:c>
      <x:c r="O110" s="3">
        <x:f t="shared" si="31"/>
        <x:v>548.13</x:v>
      </x:c>
      <x:c r="P110" s="3">
        <x:f t="shared" si="32"/>
        <x:v>557.79999999999995</x:v>
      </x:c>
      <x:c r="R110" s="3">
        <x:f t="shared" si="30"/>
        <x:v>479.72000000000003</x:v>
      </x:c>
      <x:c r="S110" s="3">
        <x:f t="shared" si="30"/>
        <x:v>530</x:v>
      </x:c>
      <x:c r="U110" s="4">
        <x:f>O110-$R$10</x:f>
        <x:v>68.409999999999968</x:v>
      </x:c>
      <x:c r="V110" s="4">
        <x:f>P110-$S$10</x:f>
        <x:v>27.799999999999955</x:v>
      </x:c>
    </x:row>
    <x:row r="111" spans="1:22">
      <x:c r="A111" s="1">
        <x:f t="shared" si="34"/>
        <x:v>3206</x:v>
      </x:c>
      <x:c r="B111" s="1" t="str">
        <x:f>B103</x:f>
        <x:v>(단일) 불 타워</x:v>
      </x:c>
      <x:c r="C111" s="1">
        <x:v>1</x:v>
      </x:c>
      <x:c r="D111" s="1">
        <x:f>ROUND(D107*2,2)</x:f>
        <x:v>11.56</x:v>
      </x:c>
      <x:c r="E111" s="1">
        <x:f>ROUND(E107,2)</x:f>
        <x:v>2.5</x:v>
      </x:c>
      <x:c r="F111" s="1">
        <x:f>ROUND(F107*2.4,2)</x:f>
        <x:v>0.95999999999999996</x:v>
      </x:c>
      <x:c r="G111" s="1">
        <x:f>IF(G107*1.4&lt;=1,G107*1.4,1)</x:f>
        <x:v>0.033599999999999997</x:v>
      </x:c>
      <x:c r="H111" s="1">
        <x:f>ROUND(H107*1.5,2)</x:f>
        <x:v>0.029999999999999999</x:v>
      </x:c>
      <x:c r="I111" s="1">
        <x:f t="shared" si="33"/>
        <x:v>0</x:v>
      </x:c>
      <x:c r="J111" s="1">
        <x:v>0</x:v>
      </x:c>
      <x:c r="K111" s="1">
        <x:v>15</x:v>
      </x:c>
      <x:c r="L111" s="1">
        <x:v>0</x:v>
      </x:c>
      <x:c r="O111" s="3">
        <x:f t="shared" si="31"/>
        <x:v>665.86000000000001</x:v>
      </x:c>
      <x:c r="P111" s="3">
        <x:f t="shared" si="32"/>
        <x:v>688.89999999999998</x:v>
      </x:c>
      <x:c r="R111" s="3">
        <x:f t="shared" si="30"/>
        <x:v>612.57000000000005</x:v>
      </x:c>
      <x:c r="S111" s="3">
        <x:f t="shared" si="30"/>
        <x:v>699.50999999999999</x:v>
      </x:c>
      <x:c r="U111" s="5">
        <x:f>O111-$R$11</x:f>
        <x:v>53.289999999999964</x:v>
      </x:c>
      <x:c r="V111" s="5">
        <x:f>P111-$S$11</x:f>
        <x:v>-10.610000000000014</x:v>
      </x:c>
    </x:row>
    <x:row r="112" spans="1:22">
      <x:c r="A112" s="1">
        <x:f t="shared" si="34"/>
        <x:v>3306</x:v>
      </x:c>
      <x:c r="B112" s="1" t="str">
        <x:f>B104</x:f>
        <x:v>(함정) 불 타워</x:v>
      </x:c>
      <x:c r="C112" s="1">
        <x:v>1</x:v>
      </x:c>
      <x:c r="D112" s="1">
        <x:f>ROUND(D108*2.5,2)</x:f>
        <x:v>16</x:v>
      </x:c>
      <x:c r="E112" s="1">
        <x:f>ROUND(E108,2)</x:f>
        <x:v>2.5</x:v>
      </x:c>
      <x:c r="F112" s="1">
        <x:f>ROUND(F108*2.2,2)</x:f>
        <x:v>0.23999999999999999</x:v>
      </x:c>
      <x:c r="G112" s="1">
        <x:v>0</x:v>
      </x:c>
      <x:c r="H112" s="1">
        <x:v>0</x:v>
      </x:c>
      <x:c r="I112" s="1">
        <x:f t="shared" si="33"/>
        <x:v>30</x:v>
      </x:c>
      <x:c r="J112" s="1">
        <x:v>0</x:v>
      </x:c>
      <x:c r="K112" s="1">
        <x:v>1</x:v>
      </x:c>
      <x:c r="L112" s="1">
        <x:f>L104*1.5</x:f>
        <x:v>3</x:v>
      </x:c>
      <x:c r="O112" s="3">
        <x:f t="shared" si="31"/>
        <x:v>230.40000000000001</x:v>
      </x:c>
      <x:c r="P112" s="3">
        <x:f t="shared" si="32"/>
        <x:v>230.40000000000001</x:v>
      </x:c>
      <x:c r="R112" s="3">
        <x:f t="shared" si="30"/>
        <x:v>208.80000000000001</x:v>
      </x:c>
      <x:c r="S112" s="3">
        <x:f t="shared" si="30"/>
        <x:v>208.80000000000001</x:v>
      </x:c>
      <x:c r="U112" s="6">
        <x:f>O112-$R$12</x:f>
        <x:v>21.599999999999994</x:v>
      </x:c>
      <x:c r="V112" s="6">
        <x:f>P112-$S$12</x:f>
        <x:v>21.599999999999994</x:v>
      </x:c>
    </x:row>
    <x:row r="113" spans="1:22">
      <x:c r="A113" s="1">
        <x:f t="shared" si="34"/>
        <x:v>3406</x:v>
      </x:c>
      <x:c r="B113" s="1" t="str">
        <x:f>B105</x:f>
        <x:v>(버프) 불 타워</x:v>
      </x:c>
      <x:c r="C113" s="1">
        <x:v>1</x:v>
      </x:c>
      <x:c r="D113" s="1">
        <x:v>0</x:v>
      </x:c>
      <x:c r="E113" s="1">
        <x:f>E109+1</x:f>
        <x:v>2</x:v>
      </x:c>
      <x:c r="F113" s="1">
        <x:v>1</x:v>
      </x:c>
      <x:c r="G113" s="1">
        <x:v>0</x:v>
      </x:c>
      <x:c r="H113" s="1">
        <x:v>0</x:v>
      </x:c>
      <x:c r="I113" s="1">
        <x:f t="shared" si="33"/>
        <x:v>1</x:v>
      </x:c>
      <x:c r="J113" s="1">
        <x:v>120</x:v>
      </x:c>
      <x:c r="K113" s="1">
        <x:v>1</x:v>
      </x:c>
      <x:c r="L113" s="1">
        <x:v>0</x:v>
      </x:c>
      <x:c r="O113" s="3">
        <x:f t="shared" si="31"/>
        <x:v>0</x:v>
      </x:c>
      <x:c r="P113" s="3">
        <x:f t="shared" si="32"/>
        <x:v>0</x:v>
      </x:c>
      <x:c r="R113" s="3">
        <x:f t="shared" si="30"/>
        <x:v>22.5</x:v>
      </x:c>
      <x:c r="S113" s="3">
        <x:f t="shared" si="30"/>
        <x:v>22.5</x:v>
      </x:c>
      <x:c r="U113" s="7">
        <x:f>O113-$R$13</x:f>
        <x:v>-22.5</x:v>
      </x:c>
      <x:c r="V113" s="7">
        <x:f>P113-$S$13</x:f>
        <x:v>-22.5</x:v>
      </x:c>
    </x:row>
    <x:row r="114" spans="1:22">
      <x:c r="A114" s="1">
        <x:f t="shared" si="34"/>
        <x:v>4106</x:v>
      </x:c>
      <x:c r="B114" s="1" t="str">
        <x:f>B102</x:f>
        <x:v>(광역) 불 타워</x:v>
      </x:c>
      <x:c r="C114" s="1">
        <x:v>1</x:v>
      </x:c>
      <x:c r="D114" s="1">
        <x:f>ROUND(D110*3,2)</x:f>
        <x:v>49.829999999999998</x:v>
      </x:c>
      <x:c r="E114" s="1">
        <x:f>ROUND(E110*1.1,2)</x:f>
        <x:v>2.75</x:v>
      </x:c>
      <x:c r="F114" s="1">
        <x:f>ROUND(F110*2.5,2)</x:f>
        <x:v>1.3799999999999999</x:v>
      </x:c>
      <x:c r="G114" s="1">
        <x:f>IF(G110*1.6&lt;=1,G110*1.6,1)</x:f>
        <x:v>0.026880000000000004</x:v>
      </x:c>
      <x:c r="H114" s="1">
        <x:f>ROUND(H110*2,2)</x:f>
        <x:v>0.10000000000000001</x:v>
      </x:c>
      <x:c r="I114" s="1">
        <x:f>ROUND(I102*3,2)</x:f>
        <x:v>1.5</x:v>
      </x:c>
      <x:c r="J114" s="1">
        <x:v>500</x:v>
      </x:c>
      <x:c r="K114" s="1">
        <x:v>10</x:v>
      </x:c>
      <x:c r="L114" s="1">
        <x:f>L102*2</x:f>
        <x:v>6</x:v>
      </x:c>
      <x:c r="O114" s="3">
        <x:f t="shared" si="31"/>
        <x:v>4125.9200000000001</x:v>
      </x:c>
      <x:c r="P114" s="3">
        <x:f t="shared" si="32"/>
        <x:v>4247.9200000000001</x:v>
      </x:c>
      <x:c r="R114" s="3">
        <x:f t="shared" si="30"/>
        <x:v>3601.5900000000001</x:v>
      </x:c>
      <x:c r="S114" s="3">
        <x:f t="shared" si="30"/>
        <x:v>4306.1000000000004</x:v>
      </x:c>
      <x:c r="U114" s="4">
        <x:f>O114-$R$14</x:f>
        <x:v>524.32999999999993</x:v>
      </x:c>
      <x:c r="V114" s="4">
        <x:f>P114-$S$14</x:f>
        <x:v>-58.180000000000291</x:v>
      </x:c>
    </x:row>
    <x:row r="115" spans="1:22">
      <x:c r="A115" s="1">
        <x:f t="shared" si="34"/>
        <x:v>4206</x:v>
      </x:c>
      <x:c r="B115" s="1" t="str">
        <x:f>B103</x:f>
        <x:v>(단일) 불 타워</x:v>
      </x:c>
      <x:c r="C115" s="1">
        <x:v>1</x:v>
      </x:c>
      <x:c r="D115" s="1">
        <x:f>ROUND(D111*3,2)</x:f>
        <x:v>34.68</x:v>
      </x:c>
      <x:c r="E115" s="1">
        <x:f>ROUND(E111*1.1,2)</x:f>
        <x:v>2.75</x:v>
      </x:c>
      <x:c r="F115" s="1">
        <x:f>ROUND(F111*2.75,2)</x:f>
        <x:v>2.6400000000000001</x:v>
      </x:c>
      <x:c r="G115" s="1">
        <x:f>IF(G111*1.6&lt;=1,G111*1.6,1)</x:f>
        <x:v>0.053760000000000008</x:v>
      </x:c>
      <x:c r="H115" s="1">
        <x:f>ROUND(H111*2,2)</x:f>
        <x:v>0.059999999999999998</x:v>
      </x:c>
      <x:c r="I115" s="1">
        <x:f t="shared" si="33"/>
        <x:v>0</x:v>
      </x:c>
      <x:c r="J115" s="1">
        <x:v>0</x:v>
      </x:c>
      <x:c r="K115" s="1">
        <x:v>15</x:v>
      </x:c>
      <x:c r="L115" s="1">
        <x:v>0</x:v>
      </x:c>
      <x:c r="O115" s="3">
        <x:f t="shared" si="31"/>
        <x:v>5493.3100000000004</x:v>
      </x:c>
      <x:c r="P115" s="3">
        <x:f t="shared" si="32"/>
        <x:v>5806.3500000000004</x:v>
      </x:c>
      <x:c r="R115" s="3">
        <x:f t="shared" si="30"/>
        <x:v>5055.3500000000004</x:v>
      </x:c>
      <x:c r="S115" s="3">
        <x:f t="shared" si="30"/>
        <x:v>6489.9499999999998</x:v>
      </x:c>
      <x:c r="U115" s="5">
        <x:f>O115-$R$15</x:f>
        <x:v>437.96000000000004</x:v>
      </x:c>
      <x:c r="V115" s="5">
        <x:f>P115-$S$15</x:f>
        <x:v>-683.59999999999945</x:v>
      </x:c>
    </x:row>
    <x:row r="116" spans="1:22">
      <x:c r="A116" s="1">
        <x:f t="shared" si="34"/>
        <x:v>4306</x:v>
      </x:c>
      <x:c r="B116" s="1" t="str">
        <x:f>B104</x:f>
        <x:v>(함정) 불 타워</x:v>
      </x:c>
      <x:c r="C116" s="1">
        <x:v>1</x:v>
      </x:c>
      <x:c r="D116" s="1">
        <x:f>ROUND(D112*3,2)</x:f>
        <x:v>48</x:v>
      </x:c>
      <x:c r="E116" s="1">
        <x:f>ROUND(E112*1.1,2)</x:f>
        <x:v>2.75</x:v>
      </x:c>
      <x:c r="F116" s="1">
        <x:f>ROUND(F112*2.5,2)</x:f>
        <x:v>0.59999999999999998</x:v>
      </x:c>
      <x:c r="G116" s="1">
        <x:v>0</x:v>
      </x:c>
      <x:c r="H116" s="1">
        <x:v>0</x:v>
      </x:c>
      <x:c r="I116" s="1">
        <x:f t="shared" si="33"/>
        <x:v>30</x:v>
      </x:c>
      <x:c r="J116" s="1">
        <x:v>0</x:v>
      </x:c>
      <x:c r="K116" s="1">
        <x:v>1</x:v>
      </x:c>
      <x:c r="L116" s="1">
        <x:f>L104*2</x:f>
        <x:v>4</x:v>
      </x:c>
      <x:c r="O116" s="3">
        <x:f t="shared" si="31"/>
        <x:v>1728</x:v>
      </x:c>
      <x:c r="P116" s="3">
        <x:f t="shared" si="32"/>
        <x:v>1728</x:v>
      </x:c>
      <x:c r="R116" s="3">
        <x:f t="shared" si="30"/>
        <x:v>1570.5</x:v>
      </x:c>
      <x:c r="S116" s="3">
        <x:f t="shared" si="30"/>
        <x:v>1570.5</x:v>
      </x:c>
      <x:c r="U116" s="6">
        <x:f>O116-$R$16</x:f>
        <x:v>157.5</x:v>
      </x:c>
      <x:c r="V116" s="6">
        <x:f>P116-$S$16</x:f>
        <x:v>157.5</x:v>
      </x:c>
    </x:row>
    <x:row r="117" spans="1:22">
      <x:c r="A117" s="1">
        <x:f t="shared" si="34"/>
        <x:v>4406</x:v>
      </x:c>
      <x:c r="B117" s="1" t="str">
        <x:f>B105</x:f>
        <x:v>(버프) 불 타워</x:v>
      </x:c>
      <x:c r="C117" s="1">
        <x:v>1</x:v>
      </x:c>
      <x:c r="D117" s="1">
        <x:v>0</x:v>
      </x:c>
      <x:c r="E117" s="1">
        <x:f>E113+2</x:f>
        <x:v>4</x:v>
      </x:c>
      <x:c r="F117" s="1">
        <x:v>1</x:v>
      </x:c>
      <x:c r="G117" s="1">
        <x:v>0</x:v>
      </x:c>
      <x:c r="H117" s="1">
        <x:v>0</x:v>
      </x:c>
      <x:c r="I117" s="1">
        <x:f t="shared" si="33"/>
        <x:v>1</x:v>
      </x:c>
      <x:c r="J117" s="1">
        <x:v>500</x:v>
      </x:c>
      <x:c r="K117" s="1">
        <x:v>1</x:v>
      </x:c>
      <x:c r="L117" s="1">
        <x:v>0</x:v>
      </x:c>
      <x:c r="O117" s="3">
        <x:f t="shared" si="31"/>
        <x:v>0</x:v>
      </x:c>
      <x:c r="P117" s="3">
        <x:f t="shared" si="32"/>
        <x:v>0</x:v>
      </x:c>
      <x:c r="R117" s="3">
        <x:f t="shared" si="30"/>
        <x:v>37.5</x:v>
      </x:c>
      <x:c r="S117" s="3">
        <x:f t="shared" si="30"/>
        <x:v>37.5</x:v>
      </x:c>
      <x:c r="U117" s="7">
        <x:f>O117-$R$17</x:f>
        <x:v>-37.5</x:v>
      </x:c>
      <x:c r="V117" s="7">
        <x:f>P117-$S$17</x:f>
        <x:v>-37.5</x:v>
      </x:c>
    </x:row>
    <x:row r="118" spans="1:22">
      <x:c r="A118" s="1">
        <x:f t="shared" si="34"/>
        <x:v>5106</x:v>
      </x:c>
      <x:c r="B118" s="1" t="str">
        <x:f>B102</x:f>
        <x:v>(광역) 불 타워</x:v>
      </x:c>
      <x:c r="C118" s="1">
        <x:v>1</x:v>
      </x:c>
      <x:c r="D118" s="1">
        <x:f>ROUND(D114*4.2,2)</x:f>
        <x:v>209.28999999999999</x:v>
      </x:c>
      <x:c r="E118" s="1">
        <x:f>ROUND(E114*1.25,2)</x:f>
        <x:v>3.4399999999999999</x:v>
      </x:c>
      <x:c r="F118" s="1">
        <x:f>ROUND(F114*3,2)</x:f>
        <x:v>4.1399999999999997</x:v>
      </x:c>
      <x:c r="G118" s="1">
        <x:f>IF(G114*1.8&lt;=1,G114*1.8,1)</x:f>
        <x:v>0.048384000000000005</x:v>
      </x:c>
      <x:c r="H118" s="1">
        <x:f>ROUND(H114*2.8,2)</x:f>
        <x:v>0.28000000000000003</x:v>
      </x:c>
      <x:c r="I118" s="1">
        <x:f>ROUND(I102*5,2)</x:f>
        <x:v>2.5</x:v>
      </x:c>
      <x:c r="J118" s="1">
        <x:v>1500</x:v>
      </x:c>
      <x:c r="K118" s="1">
        <x:v>10</x:v>
      </x:c>
      <x:c r="L118" s="1">
        <x:f>L102*3</x:f>
        <x:v>9</x:v>
      </x:c>
      <x:c r="O118" s="3">
        <x:f t="shared" si="31"/>
        <x:v>51987.639999999999</x:v>
      </x:c>
      <x:c r="P118" s="3">
        <x:f t="shared" si="32"/>
        <x:v>55207.309999999998</x:v>
      </x:c>
      <x:c r="R118" s="3">
        <x:f t="shared" si="30"/>
        <x:v>45381.339999999997</x:v>
      </x:c>
      <x:c r="S118" s="3">
        <x:f t="shared" si="30"/>
        <x:v>69583.229999999996</x:v>
      </x:c>
      <x:c r="U118" s="4">
        <x:f>O118-$R$18</x:f>
        <x:v>6606.3000000000029</x:v>
      </x:c>
      <x:c r="V118" s="4">
        <x:f>P118-$S$18</x:f>
        <x:v>-14375.919999999998</x:v>
      </x:c>
    </x:row>
    <x:row r="119" spans="1:22">
      <x:c r="A119" s="1">
        <x:f t="shared" si="34"/>
        <x:v>5206</x:v>
      </x:c>
      <x:c r="B119" s="1" t="str">
        <x:f>B103</x:f>
        <x:v>(단일) 불 타워</x:v>
      </x:c>
      <x:c r="C119" s="1">
        <x:v>1</x:v>
      </x:c>
      <x:c r="D119" s="1">
        <x:f>ROUND(D115*5,2)</x:f>
        <x:v>173.40000000000001</x:v>
      </x:c>
      <x:c r="E119" s="1">
        <x:f t="shared" ref="E119:E120" si="35">ROUND(E115*1.25,2)</x:f>
        <x:v>3.4399999999999999</x:v>
      </x:c>
      <x:c r="F119" s="1">
        <x:f>ROUND(F115*4,2)</x:f>
        <x:v>10.56</x:v>
      </x:c>
      <x:c r="G119" s="1">
        <x:f>IF(G115*1.8&lt;=1,G115*1.8,1)</x:f>
        <x:v>0.09676800000000001</x:v>
      </x:c>
      <x:c r="H119" s="1">
        <x:f>ROUND(H115*2.8,2)</x:f>
        <x:v>0.17000000000000001</x:v>
      </x:c>
      <x:c r="I119" s="1">
        <x:f t="shared" si="33"/>
        <x:v>0</x:v>
      </x:c>
      <x:c r="J119" s="1">
        <x:v>0</x:v>
      </x:c>
      <x:c r="K119" s="1">
        <x:v>15</x:v>
      </x:c>
      <x:c r="L119" s="1">
        <x:v>0</x:v>
      </x:c>
      <x:c r="O119" s="3">
        <x:f t="shared" si="31"/>
        <x:v>109866.24000000001</x:v>
      </x:c>
      <x:c r="P119" s="3">
        <x:f t="shared" si="32"/>
        <x:v>122305.14</x:v>
      </x:c>
      <x:c r="R119" s="3">
        <x:f t="shared" si="30"/>
        <x:v>101106.89999999999</x:v>
      </x:c>
      <x:c r="S119" s="3">
        <x:f t="shared" si="30"/>
        <x:v>189869.89999999999</x:v>
      </x:c>
      <x:c r="U119" s="5">
        <x:f>O119-$R$19</x:f>
        <x:v>8759.3400000000111</x:v>
      </x:c>
      <x:c r="V119" s="5">
        <x:f>P119-$S$19</x:f>
        <x:v>-67564.759999999995</x:v>
      </x:c>
    </x:row>
    <x:row r="120" spans="1:22">
      <x:c r="A120" s="1">
        <x:f t="shared" si="34"/>
        <x:v>5306</x:v>
      </x:c>
      <x:c r="B120" s="1" t="str">
        <x:f>B104</x:f>
        <x:v>(함정) 불 타워</x:v>
      </x:c>
      <x:c r="C120" s="1">
        <x:v>1</x:v>
      </x:c>
      <x:c r="D120" s="1">
        <x:f>ROUND(D116*5,2)</x:f>
        <x:v>240</x:v>
      </x:c>
      <x:c r="E120" s="1">
        <x:f t="shared" si="35"/>
        <x:v>3.4399999999999999</x:v>
      </x:c>
      <x:c r="F120" s="1">
        <x:f>ROUND(F116*3,2)</x:f>
        <x:v>1.8</x:v>
      </x:c>
      <x:c r="G120" s="1">
        <x:v>0</x:v>
      </x:c>
      <x:c r="H120" s="1">
        <x:v>0</x:v>
      </x:c>
      <x:c r="I120" s="1">
        <x:f t="shared" si="33"/>
        <x:v>30</x:v>
      </x:c>
      <x:c r="J120" s="1">
        <x:v>0</x:v>
      </x:c>
      <x:c r="K120" s="1">
        <x:v>1</x:v>
      </x:c>
      <x:c r="L120" s="1">
        <x:f>L104*3</x:f>
        <x:v>6</x:v>
      </x:c>
      <x:c r="O120" s="3">
        <x:f t="shared" si="31"/>
        <x:v>25920</x:v>
      </x:c>
      <x:c r="P120" s="3">
        <x:f t="shared" si="32"/>
        <x:v>25920</x:v>
      </x:c>
      <x:c r="R120" s="3">
        <x:f t="shared" si="30"/>
        <x:v>23557.5</x:v>
      </x:c>
      <x:c r="S120" s="3">
        <x:f t="shared" si="30"/>
        <x:v>23557.5</x:v>
      </x:c>
      <x:c r="U120" s="6">
        <x:f>O120-$R$20</x:f>
        <x:v>2362.5</x:v>
      </x:c>
      <x:c r="V120" s="6">
        <x:f>P120-$S$20</x:f>
        <x:v>2362.5</x:v>
      </x:c>
    </x:row>
    <x:row r="121" spans="1:22">
      <x:c r="A121" s="1">
        <x:f t="shared" si="34"/>
        <x:v>5406</x:v>
      </x:c>
      <x:c r="B121" s="1" t="str">
        <x:f>B105</x:f>
        <x:v>(버프) 불 타워</x:v>
      </x:c>
      <x:c r="C121" s="1">
        <x:v>1</x:v>
      </x:c>
      <x:c r="D121" s="1">
        <x:v>0</x:v>
      </x:c>
      <x:c r="E121" s="1">
        <x:f>E117+3</x:f>
        <x:v>7</x:v>
      </x:c>
      <x:c r="F121" s="1">
        <x:v>1</x:v>
      </x:c>
      <x:c r="G121" s="1">
        <x:v>0</x:v>
      </x:c>
      <x:c r="H121" s="1">
        <x:v>0</x:v>
      </x:c>
      <x:c r="I121" s="1">
        <x:f t="shared" si="33"/>
        <x:v>1</x:v>
      </x:c>
      <x:c r="J121" s="1">
        <x:v>1500</x:v>
      </x:c>
      <x:c r="K121" s="1">
        <x:v>1</x:v>
      </x:c>
      <x:c r="L121" s="1">
        <x:v>0</x:v>
      </x:c>
      <x:c r="O121" s="3">
        <x:f t="shared" si="31"/>
        <x:v>0</x:v>
      </x:c>
      <x:c r="P121" s="3">
        <x:f t="shared" si="32"/>
        <x:v>0</x:v>
      </x:c>
      <x:c r="R121" s="3">
        <x:f t="shared" si="30"/>
        <x:v>75</x:v>
      </x:c>
      <x:c r="S121" s="3">
        <x:f t="shared" si="30"/>
        <x:v>75</x:v>
      </x:c>
      <x:c r="U121" s="7">
        <x:f>O121-$R$21</x:f>
        <x:v>-75</x:v>
      </x:c>
      <x:c r="V121" s="7">
        <x:f>P121-$S$21</x:f>
        <x:v>-75</x:v>
      </x:c>
    </x:row>
    <x:row r="122" spans="1:22">
      <x:c r="A122" s="1">
        <x:v>1107</x:v>
      </x:c>
      <x:c r="B122" s="1" t="s">
        <x:v>7</x:v>
      </x:c>
      <x:c r="C122" s="1">
        <x:v>1</x:v>
      </x:c>
      <x:c r="D122" s="1">
        <x:v>4.7000000000000002</x:v>
      </x:c>
      <x:c r="E122" s="1">
        <x:v>2.5</x:v>
      </x:c>
      <x:c r="F122" s="1">
        <x:v>0.05</x:v>
      </x:c>
      <x:c r="G122" s="1">
        <x:v>0.22</x:v>
      </x:c>
      <x:c r="H122" s="1">
        <x:v>0.046999999999999997</x:v>
      </x:c>
      <x:c r="I122" s="1">
        <x:v>0.5</x:v>
      </x:c>
      <x:c r="J122" s="1">
        <x:v>8.6957000000000004</x:v>
      </x:c>
      <x:c r="K122" s="1">
        <x:v>10</x:v>
      </x:c>
      <x:c r="L122" s="1">
        <x:v>3</x:v>
      </x:c>
      <x:c r="O122" s="3">
        <x:f>ROUND(60*(D122*F122),2)</x:f>
        <x:v>14.1</x:v>
      </x:c>
      <x:c r="P122" s="3">
        <x:f>ROUND((O122*G122*(2+H122))+O122*(1-G122),2)</x:f>
        <x:v>17.350000000000001</x:v>
      </x:c>
      <x:c r="R122" s="3">
        <x:f t="shared" ref="R122:S141" si="36">R2</x:f>
        <x:v>25.539999999999999</x:v>
      </x:c>
      <x:c r="S122" s="3">
        <x:f t="shared" si="36"/>
        <x:v>27.010000000000002</x:v>
      </x:c>
      <x:c r="U122" s="4">
        <x:f>O122-$R$2</x:f>
        <x:v>-11.44</x:v>
      </x:c>
      <x:c r="V122" s="4">
        <x:f>P122-$S$2</x:f>
        <x:v>-9.6600000000000001</x:v>
      </x:c>
    </x:row>
    <x:row r="123" spans="1:22">
      <x:c r="A123" s="1">
        <x:f>A122+100</x:f>
        <x:v>1207</x:v>
      </x:c>
      <x:c r="B123" s="1" t="s">
        <x:v>39</x:v>
      </x:c>
      <x:c r="C123" s="1">
        <x:v>1</x:v>
      </x:c>
      <x:c r="D123" s="1">
        <x:v>8</x:v>
      </x:c>
      <x:c r="E123" s="1">
        <x:v>2.5</x:v>
      </x:c>
      <x:c r="F123" s="1">
        <x:v>0.070000000000000007</x:v>
      </x:c>
      <x:c r="G123" s="1">
        <x:v>0.17000000000000001</x:v>
      </x:c>
      <x:c r="H123" s="1">
        <x:v>0.028000000000000003</x:v>
      </x:c>
      <x:c r="I123" s="1">
        <x:v>0</x:v>
      </x:c>
      <x:c r="J123" s="1">
        <x:v>0</x:v>
      </x:c>
      <x:c r="K123" s="1">
        <x:v>15</x:v>
      </x:c>
      <x:c r="L123" s="1">
        <x:v>0</x:v>
      </x:c>
      <x:c r="O123" s="3">
        <x:f t="shared" ref="O123:O141" si="37">ROUND(60*(D123*F123),2)</x:f>
        <x:v>33.600000000000001</x:v>
      </x:c>
      <x:c r="P123" s="3">
        <x:f t="shared" ref="P123:P141" si="38">ROUND((O123*G123*(2+H123))+O123*(1-G123),2)</x:f>
        <x:v>39.469999999999999</x:v>
      </x:c>
      <x:c r="R123" s="3">
        <x:f t="shared" si="36"/>
        <x:v>33.960000000000001</x:v>
      </x:c>
      <x:c r="S123" s="3">
        <x:f t="shared" si="36"/>
        <x:v>36.509999999999998</x:v>
      </x:c>
      <x:c r="U123" s="5">
        <x:f>O123-$R$3</x:f>
        <x:v>-0.35999999999999943</x:v>
      </x:c>
      <x:c r="V123" s="5">
        <x:f>P123-$S$3</x:f>
        <x:v>2.9600000000000009</x:v>
      </x:c>
    </x:row>
    <x:row r="124" spans="1:22">
      <x:c r="A124" s="1">
        <x:f>A122+200</x:f>
        <x:v>1307</x:v>
      </x:c>
      <x:c r="B124" s="1" t="s">
        <x:v>11</x:v>
      </x:c>
      <x:c r="C124" s="1">
        <x:v>1</x:v>
      </x:c>
      <x:c r="D124" s="1">
        <x:v>50</x:v>
      </x:c>
      <x:c r="E124" s="1">
        <x:v>2.5</x:v>
      </x:c>
      <x:c r="F124" s="1">
        <x:v>0.005</x:v>
      </x:c>
      <x:c r="G124" s="1">
        <x:v>0</x:v>
      </x:c>
      <x:c r="H124" s="1">
        <x:v>0</x:v>
      </x:c>
      <x:c r="I124" s="1">
        <x:v>30</x:v>
      </x:c>
      <x:c r="J124" s="1">
        <x:v>525</x:v>
      </x:c>
      <x:c r="K124" s="1">
        <x:v>1</x:v>
      </x:c>
      <x:c r="L124" s="1">
        <x:v>2</x:v>
      </x:c>
      <x:c r="O124" s="3">
        <x:f t="shared" si="37"/>
        <x:v>15</x:v>
      </x:c>
      <x:c r="P124" s="3">
        <x:f t="shared" si="38"/>
        <x:v>15</x:v>
      </x:c>
      <x:c r="R124" s="3">
        <x:f t="shared" si="36"/>
        <x:v>9.0800000000000001</x:v>
      </x:c>
      <x:c r="S124" s="3">
        <x:f t="shared" si="36"/>
        <x:v>9.0800000000000001</x:v>
      </x:c>
      <x:c r="U124" s="6">
        <x:f>O124-$R$4</x:f>
        <x:v>5.9199999999999999</x:v>
      </x:c>
      <x:c r="V124" s="6">
        <x:f>P124-$S$4</x:f>
        <x:v>5.9199999999999999</x:v>
      </x:c>
    </x:row>
    <x:row r="125" spans="1:22">
      <x:c r="A125" s="1">
        <x:f>A122+300</x:f>
        <x:v>1407</x:v>
      </x:c>
      <x:c r="B125" s="1" t="s">
        <x:v>18</x:v>
      </x:c>
      <x:c r="C125" s="1">
        <x:v>1</x:v>
      </x:c>
      <x:c r="D125" s="1">
        <x:v>0</x:v>
      </x:c>
      <x:c r="E125" s="1">
        <x:v>3</x:v>
      </x:c>
      <x:c r="F125" s="1">
        <x:v>1</x:v>
      </x:c>
      <x:c r="G125" s="1">
        <x:v>0</x:v>
      </x:c>
      <x:c r="H125" s="1">
        <x:v>0</x:v>
      </x:c>
      <x:c r="I125" s="1">
        <x:v>1</x:v>
      </x:c>
      <x:c r="J125" s="1" t="e">
        <x:f>IF(#REF!="Buff",1.2,8.6957)</x:f>
        <x:v>#REF!</x:v>
      </x:c>
      <x:c r="K125" s="1">
        <x:v>1</x:v>
      </x:c>
      <x:c r="L125" s="1">
        <x:v>0</x:v>
      </x:c>
      <x:c r="O125" s="3">
        <x:f t="shared" si="37"/>
        <x:v>0</x:v>
      </x:c>
      <x:c r="P125" s="3">
        <x:f t="shared" si="38"/>
        <x:v>0</x:v>
      </x:c>
      <x:c r="R125" s="3">
        <x:f t="shared" si="36"/>
        <x:v>7.5</x:v>
      </x:c>
      <x:c r="S125" s="3">
        <x:f t="shared" si="36"/>
        <x:v>7.5</x:v>
      </x:c>
      <x:c r="U125" s="7">
        <x:f>O125-$R$5</x:f>
        <x:v>-7.5</x:v>
      </x:c>
      <x:c r="V125" s="7">
        <x:f>P125-$S$5</x:f>
        <x:v>-7.5</x:v>
      </x:c>
    </x:row>
    <x:row r="126" spans="1:22">
      <x:c r="A126" s="1">
        <x:f>A122+1000</x:f>
        <x:v>2107</x:v>
      </x:c>
      <x:c r="B126" s="1" t="str">
        <x:f>B122</x:f>
        <x:v>(광역) 얼음 타워</x:v>
      </x:c>
      <x:c r="C126" s="1">
        <x:v>1</x:v>
      </x:c>
      <x:c r="D126" s="1">
        <x:f>ROUND(D122*1.8,2)</x:f>
        <x:v>8.4600000000000009</x:v>
      </x:c>
      <x:c r="E126" s="1">
        <x:f>ROUND(E122,2)</x:f>
        <x:v>2.5</x:v>
      </x:c>
      <x:c r="F126" s="1">
        <x:f>ROUND(F122*2.1,2)</x:f>
        <x:v>0.11</x:v>
      </x:c>
      <x:c r="G126" s="1">
        <x:f>IF(G122*1.2&lt;=1,G122*1.2,1)</x:f>
        <x:v>0.26400000000000001</x:v>
      </x:c>
      <x:c r="H126" s="1">
        <x:f>ROUND(H122*1.2,2)</x:f>
        <x:v>0.059999999999999998</x:v>
      </x:c>
      <x:c r="I126" s="1">
        <x:f>ROUND(I122*1.5,2)</x:f>
        <x:v>0.75</x:v>
      </x:c>
      <x:c r="J126" s="1">
        <x:v>25</x:v>
      </x:c>
      <x:c r="K126" s="1">
        <x:v>10</x:v>
      </x:c>
      <x:c r="L126" s="1">
        <x:f>L122</x:f>
        <x:v>3</x:v>
      </x:c>
      <x:c r="O126" s="3">
        <x:f t="shared" si="37"/>
        <x:v>55.840000000000003</x:v>
      </x:c>
      <x:c r="P126" s="3">
        <x:f t="shared" si="38"/>
        <x:v>71.469999999999999</x:v>
      </x:c>
      <x:c r="R126" s="3">
        <x:f t="shared" si="36"/>
        <x:v>96.689999999999998</x:v>
      </x:c>
      <x:c r="S126" s="3">
        <x:f t="shared" si="36"/>
        <x:v>103.51000000000001</x:v>
      </x:c>
      <x:c r="U126" s="4">
        <x:f>O126-$R$6</x:f>
        <x:v>-40.849999999999994</x:v>
      </x:c>
      <x:c r="V126" s="4">
        <x:f>P126-$S$6</x:f>
        <x:v>-32.040000000000006</x:v>
      </x:c>
    </x:row>
    <x:row r="127" spans="1:22">
      <x:c r="A127" s="1">
        <x:f>A123+1000</x:f>
        <x:v>2207</x:v>
      </x:c>
      <x:c r="B127" s="1" t="str">
        <x:f>B123</x:f>
        <x:v>(단일) 얼음 타워</x:v>
      </x:c>
      <x:c r="C127" s="1">
        <x:v>1</x:v>
      </x:c>
      <x:c r="D127" s="1">
        <x:f>ROUND(D123*1.7,2)</x:f>
        <x:v>13.6</x:v>
      </x:c>
      <x:c r="E127" s="1">
        <x:f>ROUND(E123,2)</x:f>
        <x:v>2.5</x:v>
      </x:c>
      <x:c r="F127" s="1">
        <x:f>ROUND(F123*2.2,2)</x:f>
        <x:v>0.14999999999999999</x:v>
      </x:c>
      <x:c r="G127" s="1">
        <x:f>IF(G123*1.2&lt;=1,G123*1.2,1)</x:f>
        <x:v>0.20400000000000001</x:v>
      </x:c>
      <x:c r="H127" s="1">
        <x:f>ROUND(H123*1.2,2)</x:f>
        <x:v>0.029999999999999999</x:v>
      </x:c>
      <x:c r="I127" s="1">
        <x:f t="shared" ref="I127:I141" si="39">I123</x:f>
        <x:v>0</x:v>
      </x:c>
      <x:c r="J127" s="1">
        <x:v>0</x:v>
      </x:c>
      <x:c r="K127" s="1">
        <x:v>15</x:v>
      </x:c>
      <x:c r="L127" s="1">
        <x:v>0</x:v>
      </x:c>
      <x:c r="O127" s="3">
        <x:f t="shared" si="37"/>
        <x:v>122.40000000000001</x:v>
      </x:c>
      <x:c r="P127" s="3">
        <x:f t="shared" si="38"/>
        <x:v>148.12</x:v>
      </x:c>
      <x:c r="R127" s="3">
        <x:f t="shared" si="36"/>
        <x:v>127.56999999999999</x:v>
      </x:c>
      <x:c r="S127" s="3">
        <x:f t="shared" si="36"/>
        <x:v>139.41</x:v>
      </x:c>
      <x:c r="U127" s="5">
        <x:f>O127-$R$7</x:f>
        <x:v>-5.1699999999999875</x:v>
      </x:c>
      <x:c r="V127" s="5">
        <x:f>P127-$S$7</x:f>
        <x:v>8.710000000000008</x:v>
      </x:c>
    </x:row>
    <x:row r="128" spans="1:22">
      <x:c r="A128" s="1">
        <x:f t="shared" ref="A128:A141" si="40">A124+1000</x:f>
        <x:v>2307</x:v>
      </x:c>
      <x:c r="B128" s="1" t="str">
        <x:f>B124</x:f>
        <x:v>(함정) 얼음 타워</x:v>
      </x:c>
      <x:c r="C128" s="1">
        <x:v>1</x:v>
      </x:c>
      <x:c r="D128" s="1">
        <x:f>ROUND(D124*2,2)</x:f>
        <x:v>100</x:v>
      </x:c>
      <x:c r="E128" s="1">
        <x:f>ROUND(E124,2)</x:f>
        <x:v>2.5</x:v>
      </x:c>
      <x:c r="F128" s="1">
        <x:f>ROUND(F124*2.1,2)</x:f>
        <x:v>0.010000000000000001</x:v>
      </x:c>
      <x:c r="G128" s="1">
        <x:v>0</x:v>
      </x:c>
      <x:c r="H128" s="1">
        <x:v>0</x:v>
      </x:c>
      <x:c r="I128" s="1">
        <x:f t="shared" si="39"/>
        <x:v>30</x:v>
      </x:c>
      <x:c r="J128" s="1">
        <x:v>1500</x:v>
      </x:c>
      <x:c r="K128" s="1">
        <x:v>1</x:v>
      </x:c>
      <x:c r="L128" s="1">
        <x:f>L124</x:f>
        <x:v>2</x:v>
      </x:c>
      <x:c r="O128" s="3">
        <x:f t="shared" si="37"/>
        <x:v>60</x:v>
      </x:c>
      <x:c r="P128" s="3">
        <x:f t="shared" si="38"/>
        <x:v>60</x:v>
      </x:c>
      <x:c r="R128" s="3">
        <x:f t="shared" si="36"/>
        <x:v>38.280000000000001</x:v>
      </x:c>
      <x:c r="S128" s="3">
        <x:f t="shared" si="36"/>
        <x:v>38.280000000000001</x:v>
      </x:c>
      <x:c r="U128" s="6">
        <x:f>O128-$R$8</x:f>
        <x:v>21.719999999999999</x:v>
      </x:c>
      <x:c r="V128" s="6">
        <x:f>P128-$S$8</x:f>
        <x:v>21.719999999999999</x:v>
      </x:c>
    </x:row>
    <x:row r="129" spans="1:22">
      <x:c r="A129" s="1">
        <x:f t="shared" si="40"/>
        <x:v>2407</x:v>
      </x:c>
      <x:c r="B129" s="1" t="str">
        <x:f>B125</x:f>
        <x:v>(버프) 얼음 타워</x:v>
      </x:c>
      <x:c r="C129" s="1">
        <x:v>1</x:v>
      </x:c>
      <x:c r="D129" s="1">
        <x:v>0</x:v>
      </x:c>
      <x:c r="E129" s="1">
        <x:f>E125+0</x:f>
        <x:v>3</x:v>
      </x:c>
      <x:c r="F129" s="1">
        <x:v>1</x:v>
      </x:c>
      <x:c r="G129" s="1">
        <x:v>0</x:v>
      </x:c>
      <x:c r="H129" s="1">
        <x:v>0</x:v>
      </x:c>
      <x:c r="I129" s="1">
        <x:f t="shared" si="39"/>
        <x:v>1</x:v>
      </x:c>
      <x:c r="J129" s="1" t="e">
        <x:f>IF(#REF!="Buff",1.4,25)</x:f>
        <x:v>#REF!</x:v>
      </x:c>
      <x:c r="K129" s="1">
        <x:v>1</x:v>
      </x:c>
      <x:c r="L129" s="1">
        <x:v>0</x:v>
      </x:c>
      <x:c r="O129" s="3">
        <x:f t="shared" si="37"/>
        <x:v>0</x:v>
      </x:c>
      <x:c r="P129" s="3">
        <x:f t="shared" si="38"/>
        <x:v>0</x:v>
      </x:c>
      <x:c r="R129" s="3">
        <x:f t="shared" si="36"/>
        <x:v>15</x:v>
      </x:c>
      <x:c r="S129" s="3">
        <x:f t="shared" si="36"/>
        <x:v>15</x:v>
      </x:c>
      <x:c r="U129" s="7">
        <x:f>O129-$R$9</x:f>
        <x:v>-15</x:v>
      </x:c>
      <x:c r="V129" s="7">
        <x:f>P129-$S$9</x:f>
        <x:v>-15</x:v>
      </x:c>
    </x:row>
    <x:row r="130" spans="1:22">
      <x:c r="A130" s="1">
        <x:f t="shared" si="40"/>
        <x:v>3107</x:v>
      </x:c>
      <x:c r="B130" s="1" t="str">
        <x:f>B122</x:f>
        <x:v>(광역) 얼음 타워</x:v>
      </x:c>
      <x:c r="C130" s="1">
        <x:v>1</x:v>
      </x:c>
      <x:c r="D130" s="1">
        <x:f>ROUND(D126*2.25,2)</x:f>
        <x:v>19.039999999999999</x:v>
      </x:c>
      <x:c r="E130" s="1">
        <x:f>ROUND(E126,2)</x:f>
        <x:v>2.5</x:v>
      </x:c>
      <x:c r="F130" s="1">
        <x:f>ROUND(F126*2.2,2)</x:f>
        <x:v>0.23999999999999999</x:v>
      </x:c>
      <x:c r="G130" s="1">
        <x:f>IF(G126*1.4&lt;=1,G126*1.4,1)</x:f>
        <x:v>0.36959999999999998</x:v>
      </x:c>
      <x:c r="H130" s="1">
        <x:f>ROUND(H126*1.5,2)</x:f>
        <x:v>0.089999999999999991</x:v>
      </x:c>
      <x:c r="I130" s="1">
        <x:f>ROUND(I122*2,2)</x:f>
        <x:v>1</x:v>
      </x:c>
      <x:c r="J130" s="1">
        <x:v>60</x:v>
      </x:c>
      <x:c r="K130" s="1">
        <x:v>10</x:v>
      </x:c>
      <x:c r="L130" s="1">
        <x:f>L122*1.5</x:f>
        <x:v>4.5</x:v>
      </x:c>
      <x:c r="O130" s="3">
        <x:f t="shared" si="37"/>
        <x:v>274.18000000000001</x:v>
      </x:c>
      <x:c r="P130" s="3">
        <x:f t="shared" si="38"/>
        <x:v>384.63999999999999</x:v>
      </x:c>
      <x:c r="R130" s="3">
        <x:f t="shared" si="36"/>
        <x:v>479.72000000000003</x:v>
      </x:c>
      <x:c r="S130" s="3">
        <x:f t="shared" si="36"/>
        <x:v>530</x:v>
      </x:c>
      <x:c r="U130" s="4">
        <x:f>O130-$R$10</x:f>
        <x:v>-205.54000000000002</x:v>
      </x:c>
      <x:c r="V130" s="4">
        <x:f>P130-$S$10</x:f>
        <x:v>-145.36000000000001</x:v>
      </x:c>
    </x:row>
    <x:row r="131" spans="1:22">
      <x:c r="A131" s="1">
        <x:f t="shared" si="40"/>
        <x:v>3207</x:v>
      </x:c>
      <x:c r="B131" s="1" t="str">
        <x:f>B123</x:f>
        <x:v>(단일) 얼음 타워</x:v>
      </x:c>
      <x:c r="C131" s="1">
        <x:v>1</x:v>
      </x:c>
      <x:c r="D131" s="1">
        <x:f>ROUND(D127*2,2)</x:f>
        <x:v>27.199999999999999</x:v>
      </x:c>
      <x:c r="E131" s="1">
        <x:f>ROUND(E127,2)</x:f>
        <x:v>2.5</x:v>
      </x:c>
      <x:c r="F131" s="1">
        <x:f>ROUND(F127*2.4,2)</x:f>
        <x:v>0.35999999999999999</x:v>
      </x:c>
      <x:c r="G131" s="1">
        <x:f>IF(G127*1.4&lt;=1,G127*1.4,1)</x:f>
        <x:v>0.28560000000000002</x:v>
      </x:c>
      <x:c r="H131" s="1">
        <x:f>ROUND(H127*1.5,2)</x:f>
        <x:v>0.05</x:v>
      </x:c>
      <x:c r="I131" s="1">
        <x:f t="shared" si="39"/>
        <x:v>0</x:v>
      </x:c>
      <x:c r="J131" s="1">
        <x:v>0</x:v>
      </x:c>
      <x:c r="K131" s="1">
        <x:v>15</x:v>
      </x:c>
      <x:c r="L131" s="1">
        <x:v>0</x:v>
      </x:c>
      <x:c r="O131" s="3">
        <x:f t="shared" si="37"/>
        <x:v>587.51999999999998</x:v>
      </x:c>
      <x:c r="P131" s="3">
        <x:f t="shared" si="38"/>
        <x:v>763.71000000000004</x:v>
      </x:c>
      <x:c r="R131" s="3">
        <x:f t="shared" si="36"/>
        <x:v>612.57000000000005</x:v>
      </x:c>
      <x:c r="S131" s="3">
        <x:f t="shared" si="36"/>
        <x:v>699.50999999999999</x:v>
      </x:c>
      <x:c r="U131" s="5">
        <x:f>O131-$R$11</x:f>
        <x:v>-25.050000000000068</x:v>
      </x:c>
      <x:c r="V131" s="5">
        <x:f>P131-$S$11</x:f>
        <x:v>64.200000000000045</x:v>
      </x:c>
    </x:row>
    <x:row r="132" spans="1:22">
      <x:c r="A132" s="1">
        <x:f t="shared" si="40"/>
        <x:v>3307</x:v>
      </x:c>
      <x:c r="B132" s="1" t="str">
        <x:f>B124</x:f>
        <x:v>(함정) 얼음 타워</x:v>
      </x:c>
      <x:c r="C132" s="1">
        <x:v>1</x:v>
      </x:c>
      <x:c r="D132" s="1">
        <x:f>ROUND(D128*2.5,2)</x:f>
        <x:v>250</x:v>
      </x:c>
      <x:c r="E132" s="1">
        <x:f>ROUND(E128,2)</x:f>
        <x:v>2.5</x:v>
      </x:c>
      <x:c r="F132" s="1">
        <x:f>ROUND(F128*2.2,2)</x:f>
        <x:v>0.020000000000000001</x:v>
      </x:c>
      <x:c r="G132" s="1">
        <x:v>0</x:v>
      </x:c>
      <x:c r="H132" s="1">
        <x:v>0</x:v>
      </x:c>
      <x:c r="I132" s="1">
        <x:f t="shared" si="39"/>
        <x:v>30</x:v>
      </x:c>
      <x:c r="J132" s="1">
        <x:v>3750</x:v>
      </x:c>
      <x:c r="K132" s="1">
        <x:v>1</x:v>
      </x:c>
      <x:c r="L132" s="1">
        <x:f>L124*1.5</x:f>
        <x:v>3</x:v>
      </x:c>
      <x:c r="O132" s="3">
        <x:f t="shared" si="37"/>
        <x:v>300</x:v>
      </x:c>
      <x:c r="P132" s="3">
        <x:f t="shared" si="38"/>
        <x:v>300</x:v>
      </x:c>
      <x:c r="R132" s="3">
        <x:f t="shared" si="36"/>
        <x:v>208.80000000000001</x:v>
      </x:c>
      <x:c r="S132" s="3">
        <x:f t="shared" si="36"/>
        <x:v>208.80000000000001</x:v>
      </x:c>
      <x:c r="U132" s="6">
        <x:f>O132-$R$12</x:f>
        <x:v>91.199999999999989</x:v>
      </x:c>
      <x:c r="V132" s="6">
        <x:f>P132-$S$12</x:f>
        <x:v>91.199999999999989</x:v>
      </x:c>
    </x:row>
    <x:row r="133" spans="1:22">
      <x:c r="A133" s="1">
        <x:f t="shared" si="40"/>
        <x:v>3407</x:v>
      </x:c>
      <x:c r="B133" s="1" t="str">
        <x:f>B125</x:f>
        <x:v>(버프) 얼음 타워</x:v>
      </x:c>
      <x:c r="C133" s="1">
        <x:v>1</x:v>
      </x:c>
      <x:c r="D133" s="1">
        <x:v>0</x:v>
      </x:c>
      <x:c r="E133" s="1">
        <x:f>E129+1</x:f>
        <x:v>4</x:v>
      </x:c>
      <x:c r="F133" s="1">
        <x:v>1</x:v>
      </x:c>
      <x:c r="G133" s="1">
        <x:v>0</x:v>
      </x:c>
      <x:c r="H133" s="1">
        <x:v>0</x:v>
      </x:c>
      <x:c r="I133" s="1">
        <x:f t="shared" si="39"/>
        <x:v>1</x:v>
      </x:c>
      <x:c r="J133" s="1" t="e">
        <x:f>IF(#REF!="Buff",2,60)</x:f>
        <x:v>#REF!</x:v>
      </x:c>
      <x:c r="K133" s="1">
        <x:v>1</x:v>
      </x:c>
      <x:c r="L133" s="1">
        <x:v>0</x:v>
      </x:c>
      <x:c r="O133" s="3">
        <x:f t="shared" si="37"/>
        <x:v>0</x:v>
      </x:c>
      <x:c r="P133" s="3">
        <x:f t="shared" si="38"/>
        <x:v>0</x:v>
      </x:c>
      <x:c r="R133" s="3">
        <x:f t="shared" si="36"/>
        <x:v>22.5</x:v>
      </x:c>
      <x:c r="S133" s="3">
        <x:f t="shared" si="36"/>
        <x:v>22.5</x:v>
      </x:c>
      <x:c r="U133" s="7">
        <x:f>O133-$R$13</x:f>
        <x:v>-22.5</x:v>
      </x:c>
      <x:c r="V133" s="7">
        <x:f>P133-$S$13</x:f>
        <x:v>-22.5</x:v>
      </x:c>
    </x:row>
    <x:row r="134" spans="1:22">
      <x:c r="A134" s="1">
        <x:f t="shared" si="40"/>
        <x:v>4107</x:v>
      </x:c>
      <x:c r="B134" s="1" t="str">
        <x:f>B122</x:f>
        <x:v>(광역) 얼음 타워</x:v>
      </x:c>
      <x:c r="C134" s="1">
        <x:v>1</x:v>
      </x:c>
      <x:c r="D134" s="1">
        <x:f>ROUND(D130*3,2)</x:f>
        <x:v>57.119999999999997</x:v>
      </x:c>
      <x:c r="E134" s="1">
        <x:f>ROUND(E130*1.1,2)</x:f>
        <x:v>2.75</x:v>
      </x:c>
      <x:c r="F134" s="1">
        <x:f>ROUND(F130*2.5,2)</x:f>
        <x:v>0.59999999999999998</x:v>
      </x:c>
      <x:c r="G134" s="1">
        <x:f>IF(G130*1.6&lt;=1,G130*1.6,1)</x:f>
        <x:v>0.59136</x:v>
      </x:c>
      <x:c r="H134" s="1">
        <x:f>ROUND(H130*2,2)</x:f>
        <x:v>0.17999999999999999</x:v>
      </x:c>
      <x:c r="I134" s="1">
        <x:f>ROUND(I122*3,2)</x:f>
        <x:v>1.5</x:v>
      </x:c>
      <x:c r="J134" s="1">
        <x:v>150</x:v>
      </x:c>
      <x:c r="K134" s="1">
        <x:v>10</x:v>
      </x:c>
      <x:c r="L134" s="1">
        <x:f>L122*2</x:f>
        <x:v>6</x:v>
      </x:c>
      <x:c r="O134" s="3">
        <x:f t="shared" si="37"/>
        <x:v>2056.3200000000002</x:v>
      </x:c>
      <x:c r="P134" s="3">
        <x:f t="shared" si="38"/>
        <x:v>3491.23</x:v>
      </x:c>
      <x:c r="R134" s="3">
        <x:f t="shared" si="36"/>
        <x:v>3601.5900000000001</x:v>
      </x:c>
      <x:c r="S134" s="3">
        <x:f t="shared" si="36"/>
        <x:v>4306.1000000000004</x:v>
      </x:c>
      <x:c r="U134" s="4">
        <x:f>O134-$R$14</x:f>
        <x:v>-1545.27</x:v>
      </x:c>
      <x:c r="V134" s="4">
        <x:f>P134-$S$14</x:f>
        <x:v>-814.87000000000035</x:v>
      </x:c>
    </x:row>
    <x:row r="135" spans="1:22">
      <x:c r="A135" s="1">
        <x:f t="shared" si="40"/>
        <x:v>4207</x:v>
      </x:c>
      <x:c r="B135" s="1" t="str">
        <x:f>B123</x:f>
        <x:v>(단일) 얼음 타워</x:v>
      </x:c>
      <x:c r="C135" s="1">
        <x:v>1</x:v>
      </x:c>
      <x:c r="D135" s="1">
        <x:f>ROUND(D131*3,2)</x:f>
        <x:v>81.599999999999994</x:v>
      </x:c>
      <x:c r="E135" s="1">
        <x:f>ROUND(E131*1.1,2)</x:f>
        <x:v>2.75</x:v>
      </x:c>
      <x:c r="F135" s="1">
        <x:f>ROUND(F131*2.75,2)</x:f>
        <x:v>0.98999999999999999</x:v>
      </x:c>
      <x:c r="G135" s="1">
        <x:f>IF(G131*1.6&lt;=1,G131*1.6,1)</x:f>
        <x:v>0.45696000000000003</x:v>
      </x:c>
      <x:c r="H135" s="1">
        <x:f>ROUND(H131*2,2)</x:f>
        <x:v>0.10000000000000001</x:v>
      </x:c>
      <x:c r="I135" s="1">
        <x:f t="shared" si="39"/>
        <x:v>0</x:v>
      </x:c>
      <x:c r="J135" s="1">
        <x:v>0</x:v>
      </x:c>
      <x:c r="K135" s="1">
        <x:v>15</x:v>
      </x:c>
      <x:c r="L135" s="1">
        <x:v>0</x:v>
      </x:c>
      <x:c r="O135" s="3">
        <x:f t="shared" si="37"/>
        <x:v>4847.04</x:v>
      </x:c>
      <x:c r="P135" s="3">
        <x:f t="shared" si="38"/>
        <x:v>7283.4300000000003</x:v>
      </x:c>
      <x:c r="R135" s="3">
        <x:f t="shared" si="36"/>
        <x:v>5055.3500000000004</x:v>
      </x:c>
      <x:c r="S135" s="3">
        <x:f t="shared" si="36"/>
        <x:v>6489.9499999999998</x:v>
      </x:c>
      <x:c r="U135" s="5">
        <x:f>O135-$R$15</x:f>
        <x:v>-208.3100000000004</x:v>
      </x:c>
      <x:c r="V135" s="5">
        <x:f>P135-$S$15</x:f>
        <x:v>793.48000000000047</x:v>
      </x:c>
    </x:row>
    <x:row r="136" spans="1:22">
      <x:c r="A136" s="1">
        <x:f t="shared" si="40"/>
        <x:v>4307</x:v>
      </x:c>
      <x:c r="B136" s="1" t="str">
        <x:f>B124</x:f>
        <x:v>(함정) 얼음 타워</x:v>
      </x:c>
      <x:c r="C136" s="1">
        <x:v>1</x:v>
      </x:c>
      <x:c r="D136" s="1">
        <x:f>ROUND(D132*3,2)</x:f>
        <x:v>750</x:v>
      </x:c>
      <x:c r="E136" s="1">
        <x:f>ROUND(E132*1.1,2)</x:f>
        <x:v>2.75</x:v>
      </x:c>
      <x:c r="F136" s="1">
        <x:f>ROUND(F132*2.5,2)</x:f>
        <x:v>0.05</x:v>
      </x:c>
      <x:c r="G136" s="1">
        <x:v>0</x:v>
      </x:c>
      <x:c r="H136" s="1">
        <x:v>0</x:v>
      </x:c>
      <x:c r="I136" s="1">
        <x:f t="shared" si="39"/>
        <x:v>30</x:v>
      </x:c>
      <x:c r="J136" s="1">
        <x:v>7500</x:v>
      </x:c>
      <x:c r="K136" s="1">
        <x:v>1</x:v>
      </x:c>
      <x:c r="L136" s="1">
        <x:f>L124*2</x:f>
        <x:v>4</x:v>
      </x:c>
      <x:c r="O136" s="3">
        <x:f t="shared" si="37"/>
        <x:v>2250</x:v>
      </x:c>
      <x:c r="P136" s="3">
        <x:f t="shared" si="38"/>
        <x:v>2250</x:v>
      </x:c>
      <x:c r="R136" s="3">
        <x:f t="shared" si="36"/>
        <x:v>1570.5</x:v>
      </x:c>
      <x:c r="S136" s="3">
        <x:f t="shared" si="36"/>
        <x:v>1570.5</x:v>
      </x:c>
      <x:c r="U136" s="6">
        <x:f>O136-$R$16</x:f>
        <x:v>679.5</x:v>
      </x:c>
      <x:c r="V136" s="6">
        <x:f>P136-$S$16</x:f>
        <x:v>679.5</x:v>
      </x:c>
    </x:row>
    <x:row r="137" spans="1:22">
      <x:c r="A137" s="1">
        <x:f t="shared" si="40"/>
        <x:v>4407</x:v>
      </x:c>
      <x:c r="B137" s="1" t="str">
        <x:f>B125</x:f>
        <x:v>(버프) 얼음 타워</x:v>
      </x:c>
      <x:c r="C137" s="1">
        <x:v>1</x:v>
      </x:c>
      <x:c r="D137" s="1">
        <x:v>0</x:v>
      </x:c>
      <x:c r="E137" s="1">
        <x:f>E133+2</x:f>
        <x:v>6</x:v>
      </x:c>
      <x:c r="F137" s="1">
        <x:v>1</x:v>
      </x:c>
      <x:c r="G137" s="1">
        <x:v>0</x:v>
      </x:c>
      <x:c r="H137" s="1">
        <x:v>0</x:v>
      </x:c>
      <x:c r="I137" s="1">
        <x:f t="shared" si="39"/>
        <x:v>1</x:v>
      </x:c>
      <x:c r="J137" s="1" t="e">
        <x:f>IF(#REF!="Buff",3,150)</x:f>
        <x:v>#REF!</x:v>
      </x:c>
      <x:c r="K137" s="1">
        <x:v>1</x:v>
      </x:c>
      <x:c r="L137" s="1">
        <x:v>0</x:v>
      </x:c>
      <x:c r="O137" s="3">
        <x:f t="shared" si="37"/>
        <x:v>0</x:v>
      </x:c>
      <x:c r="P137" s="3">
        <x:f t="shared" si="38"/>
        <x:v>0</x:v>
      </x:c>
      <x:c r="R137" s="3">
        <x:f t="shared" si="36"/>
        <x:v>37.5</x:v>
      </x:c>
      <x:c r="S137" s="3">
        <x:f t="shared" si="36"/>
        <x:v>37.5</x:v>
      </x:c>
      <x:c r="U137" s="7">
        <x:f>O137-$R$17</x:f>
        <x:v>-37.5</x:v>
      </x:c>
      <x:c r="V137" s="7">
        <x:f>P137-$S$17</x:f>
        <x:v>-37.5</x:v>
      </x:c>
    </x:row>
    <x:row r="138" spans="1:22">
      <x:c r="A138" s="1">
        <x:f t="shared" si="40"/>
        <x:v>5107</x:v>
      </x:c>
      <x:c r="B138" s="1" t="str">
        <x:f>B122</x:f>
        <x:v>(광역) 얼음 타워</x:v>
      </x:c>
      <x:c r="C138" s="1">
        <x:v>1</x:v>
      </x:c>
      <x:c r="D138" s="1">
        <x:f>ROUND(D134*4.2,2)</x:f>
        <x:v>239.90000000000001</x:v>
      </x:c>
      <x:c r="E138" s="1">
        <x:f>ROUND(E134*1.25,2)</x:f>
        <x:v>3.4399999999999999</x:v>
      </x:c>
      <x:c r="F138" s="1">
        <x:f>ROUND(F134*3,2)</x:f>
        <x:v>1.8</x:v>
      </x:c>
      <x:c r="G138" s="1">
        <x:f>IF(G134*1.8&lt;=1,G134*1.8,1)</x:f>
        <x:v>1</x:v>
      </x:c>
      <x:c r="H138" s="1">
        <x:f>ROUND(H134*2.8,2)</x:f>
        <x:v>0.5</x:v>
      </x:c>
      <x:c r="I138" s="1">
        <x:f>ROUND(I122*5,2)</x:f>
        <x:v>2.5</x:v>
      </x:c>
      <x:c r="J138" s="1">
        <x:v>525</x:v>
      </x:c>
      <x:c r="K138" s="1">
        <x:v>10</x:v>
      </x:c>
      <x:c r="L138" s="1">
        <x:f>L122*3</x:f>
        <x:v>9</x:v>
      </x:c>
      <x:c r="O138" s="3">
        <x:f t="shared" si="37"/>
        <x:v>25909.200000000001</x:v>
      </x:c>
      <x:c r="P138" s="3">
        <x:f t="shared" si="38"/>
        <x:v>64773</x:v>
      </x:c>
      <x:c r="R138" s="3">
        <x:f t="shared" si="36"/>
        <x:v>45381.339999999997</x:v>
      </x:c>
      <x:c r="S138" s="3">
        <x:f t="shared" si="36"/>
        <x:v>69583.229999999996</x:v>
      </x:c>
      <x:c r="U138" s="4">
        <x:f>O138-$R$18</x:f>
        <x:v>-19472.139999999996</x:v>
      </x:c>
      <x:c r="V138" s="4">
        <x:f>P138-$S$18</x:f>
        <x:v>-4810.2299999999959</x:v>
      </x:c>
    </x:row>
    <x:row r="139" spans="1:22">
      <x:c r="A139" s="1">
        <x:f t="shared" si="40"/>
        <x:v>5207</x:v>
      </x:c>
      <x:c r="B139" s="1" t="str">
        <x:f>B123</x:f>
        <x:v>(단일) 얼음 타워</x:v>
      </x:c>
      <x:c r="C139" s="1">
        <x:v>1</x:v>
      </x:c>
      <x:c r="D139" s="1">
        <x:f>ROUND(D135*5,2)</x:f>
        <x:v>408</x:v>
      </x:c>
      <x:c r="E139" s="1">
        <x:f t="shared" ref="E139:E140" si="41">ROUND(E135*1.25,2)</x:f>
        <x:v>3.4399999999999999</x:v>
      </x:c>
      <x:c r="F139" s="1">
        <x:f>ROUND(F135*4,2)</x:f>
        <x:v>3.96</x:v>
      </x:c>
      <x:c r="G139" s="1">
        <x:f>IF(G135*1.8&lt;=1,G135*1.8,1)</x:f>
        <x:v>0.82252800000000004</x:v>
      </x:c>
      <x:c r="H139" s="1">
        <x:f>ROUND(H135*2.8,2)</x:f>
        <x:v>0.28000000000000003</x:v>
      </x:c>
      <x:c r="I139" s="1">
        <x:f t="shared" si="39"/>
        <x:v>0</x:v>
      </x:c>
      <x:c r="J139" s="1">
        <x:v>0</x:v>
      </x:c>
      <x:c r="K139" s="1">
        <x:v>15</x:v>
      </x:c>
      <x:c r="L139" s="1">
        <x:v>0</x:v>
      </x:c>
      <x:c r="O139" s="3">
        <x:f t="shared" si="37"/>
        <x:v>96940.800000000003</x:v>
      </x:c>
      <x:c r="P139" s="3">
        <x:f t="shared" si="38"/>
        <x:v>199003.54999999999</x:v>
      </x:c>
      <x:c r="R139" s="3">
        <x:f t="shared" si="36"/>
        <x:v>101106.89999999999</x:v>
      </x:c>
      <x:c r="S139" s="3">
        <x:f t="shared" si="36"/>
        <x:v>189869.89999999999</x:v>
      </x:c>
      <x:c r="U139" s="5">
        <x:f>O139-$R$19</x:f>
        <x:v>-4166.0999999999913</x:v>
      </x:c>
      <x:c r="V139" s="5">
        <x:f>P139-$S$19</x:f>
        <x:v>9133.6499999999942</x:v>
      </x:c>
    </x:row>
    <x:row r="140" spans="1:22">
      <x:c r="A140" s="1">
        <x:f t="shared" si="40"/>
        <x:v>5307</x:v>
      </x:c>
      <x:c r="B140" s="1" t="str">
        <x:f>B124</x:f>
        <x:v>(함정) 얼음 타워</x:v>
      </x:c>
      <x:c r="C140" s="1">
        <x:v>1</x:v>
      </x:c>
      <x:c r="D140" s="1">
        <x:f>ROUND(D136*5,2)</x:f>
        <x:v>3750</x:v>
      </x:c>
      <x:c r="E140" s="1">
        <x:f t="shared" si="41"/>
        <x:v>3.4399999999999999</x:v>
      </x:c>
      <x:c r="F140" s="1">
        <x:f>ROUND(F136*3,2)</x:f>
        <x:v>0.14999999999999999</x:v>
      </x:c>
      <x:c r="G140" s="1">
        <x:v>0</x:v>
      </x:c>
      <x:c r="H140" s="1">
        <x:v>0</x:v>
      </x:c>
      <x:c r="I140" s="1">
        <x:f t="shared" si="39"/>
        <x:v>30</x:v>
      </x:c>
      <x:c r="J140" s="1">
        <x:v>20000</x:v>
      </x:c>
      <x:c r="K140" s="1">
        <x:v>1</x:v>
      </x:c>
      <x:c r="L140" s="1">
        <x:f>L124*3</x:f>
        <x:v>6</x:v>
      </x:c>
      <x:c r="O140" s="3">
        <x:f t="shared" si="37"/>
        <x:v>33750</x:v>
      </x:c>
      <x:c r="P140" s="3">
        <x:f t="shared" si="38"/>
        <x:v>33750</x:v>
      </x:c>
      <x:c r="R140" s="3">
        <x:f t="shared" si="36"/>
        <x:v>23557.5</x:v>
      </x:c>
      <x:c r="S140" s="3">
        <x:f t="shared" si="36"/>
        <x:v>23557.5</x:v>
      </x:c>
      <x:c r="U140" s="6">
        <x:f>O140-$R$20</x:f>
        <x:v>10192.5</x:v>
      </x:c>
      <x:c r="V140" s="6">
        <x:f>P140-$S$20</x:f>
        <x:v>10192.5</x:v>
      </x:c>
    </x:row>
    <x:row r="141" spans="1:22">
      <x:c r="A141" s="1">
        <x:f t="shared" si="40"/>
        <x:v>5407</x:v>
      </x:c>
      <x:c r="B141" s="1" t="str">
        <x:f>B125</x:f>
        <x:v>(버프) 얼음 타워</x:v>
      </x:c>
      <x:c r="C141" s="1">
        <x:v>1</x:v>
      </x:c>
      <x:c r="D141" s="1">
        <x:v>0</x:v>
      </x:c>
      <x:c r="E141" s="1">
        <x:f>E137+3</x:f>
        <x:v>9</x:v>
      </x:c>
      <x:c r="F141" s="1">
        <x:v>1</x:v>
      </x:c>
      <x:c r="G141" s="1">
        <x:v>0</x:v>
      </x:c>
      <x:c r="H141" s="1">
        <x:v>0</x:v>
      </x:c>
      <x:c r="I141" s="1">
        <x:f t="shared" si="39"/>
        <x:v>1</x:v>
      </x:c>
      <x:c r="J141" s="1" t="e">
        <x:f>IF(#REF!="Buff",5,525)</x:f>
        <x:v>#REF!</x:v>
      </x:c>
      <x:c r="K141" s="1">
        <x:v>1</x:v>
      </x:c>
      <x:c r="L141" s="1">
        <x:v>0</x:v>
      </x:c>
      <x:c r="O141" s="3">
        <x:f t="shared" si="37"/>
        <x:v>0</x:v>
      </x:c>
      <x:c r="P141" s="3">
        <x:f t="shared" si="38"/>
        <x:v>0</x:v>
      </x:c>
      <x:c r="R141" s="3">
        <x:f t="shared" si="36"/>
        <x:v>75</x:v>
      </x:c>
      <x:c r="S141" s="3">
        <x:f t="shared" si="36"/>
        <x:v>75</x:v>
      </x:c>
      <x:c r="U141" s="7">
        <x:f>O141-$R$21</x:f>
        <x:v>-75</x:v>
      </x:c>
      <x:c r="V141" s="7">
        <x:f>P141-$S$21</x:f>
        <x:v>-75</x:v>
      </x:c>
    </x:row>
    <x:row r="142" spans="1:22">
      <x:c r="A142" s="1">
        <x:v>1108</x:v>
      </x:c>
      <x:c r="B142" s="1" t="s">
        <x:v>9</x:v>
      </x:c>
      <x:c r="C142" s="1">
        <x:v>1</x:v>
      </x:c>
      <x:c r="D142" s="1">
        <x:v>0.70999999999999996</x:v>
      </x:c>
      <x:c r="E142" s="1">
        <x:v>2.5</x:v>
      </x:c>
      <x:c r="F142" s="1">
        <x:v>0.45000000000000001</x:v>
      </x:c>
      <x:c r="G142" s="1">
        <x:v>0.005</x:v>
      </x:c>
      <x:c r="H142" s="1">
        <x:v>4</x:v>
      </x:c>
      <x:c r="I142" s="1">
        <x:v>0.5</x:v>
      </x:c>
      <x:c r="J142" s="1">
        <x:v>8.6957000000000004</x:v>
      </x:c>
      <x:c r="K142" s="1">
        <x:v>10</x:v>
      </x:c>
      <x:c r="L142" s="1">
        <x:v>3</x:v>
      </x:c>
      <x:c r="O142" s="3">
        <x:f>ROUND(60*(D142*F142),2)</x:f>
        <x:v>19.170000000000002</x:v>
      </x:c>
      <x:c r="P142" s="3">
        <x:f>ROUND((O142*G142*(2+H142))+O142*(1-G142),2)</x:f>
        <x:v>19.649999999999999</x:v>
      </x:c>
      <x:c r="R142" s="3">
        <x:f t="shared" ref="R142:S161" si="42">R2</x:f>
        <x:v>25.539999999999999</x:v>
      </x:c>
      <x:c r="S142" s="3">
        <x:f t="shared" si="42"/>
        <x:v>27.010000000000002</x:v>
      </x:c>
      <x:c r="U142" s="4">
        <x:f>O142-$R$2</x:f>
        <x:v>-6.3699999999999974</x:v>
      </x:c>
      <x:c r="V142" s="4">
        <x:f>P142-$S$2</x:f>
        <x:v>-7.360000000000003</x:v>
      </x:c>
    </x:row>
    <x:row r="143" spans="1:22">
      <x:c r="A143" s="1">
        <x:f>A142+100</x:f>
        <x:v>1208</x:v>
      </x:c>
      <x:c r="B143" s="1" t="s">
        <x:v>8</x:v>
      </x:c>
      <x:c r="C143" s="1">
        <x:v>1</x:v>
      </x:c>
      <x:c r="D143" s="1">
        <x:v>0.55000000000000004</x:v>
      </x:c>
      <x:c r="E143" s="1">
        <x:v>2.5</x:v>
      </x:c>
      <x:c r="F143" s="1">
        <x:v>0.62</x:v>
      </x:c>
      <x:c r="G143" s="1">
        <x:v>0.0080000000000000004</x:v>
      </x:c>
      <x:c r="H143" s="1">
        <x:v>3.2999999999999998</x:v>
      </x:c>
      <x:c r="I143" s="1">
        <x:v>0</x:v>
      </x:c>
      <x:c r="J143" s="1">
        <x:v>0</x:v>
      </x:c>
      <x:c r="K143" s="1">
        <x:v>15</x:v>
      </x:c>
      <x:c r="L143" s="1">
        <x:v>0</x:v>
      </x:c>
      <x:c r="O143" s="3">
        <x:f t="shared" ref="O143:O161" si="43">ROUND(60*(D143*F143),2)</x:f>
        <x:v>20.460000000000001</x:v>
      </x:c>
      <x:c r="P143" s="3">
        <x:f t="shared" ref="P143:P161" si="44">ROUND((O143*G143*(2+H143))+O143*(1-G143),2)</x:f>
        <x:v>21.16</x:v>
      </x:c>
      <x:c r="R143" s="3">
        <x:f t="shared" si="42"/>
        <x:v>33.960000000000001</x:v>
      </x:c>
      <x:c r="S143" s="3">
        <x:f t="shared" si="42"/>
        <x:v>36.509999999999998</x:v>
      </x:c>
      <x:c r="U143" s="5">
        <x:f>O143-$R$3</x:f>
        <x:v>-13.5</x:v>
      </x:c>
      <x:c r="V143" s="5">
        <x:f>P143-$S$3</x:f>
        <x:v>-15.349999999999998</x:v>
      </x:c>
    </x:row>
    <x:row r="144" spans="1:22">
      <x:c r="A144" s="1">
        <x:f>A142+200</x:f>
        <x:v>1308</x:v>
      </x:c>
      <x:c r="B144" s="1" t="s">
        <x:v>33</x:v>
      </x:c>
      <x:c r="C144" s="1">
        <x:v>1</x:v>
      </x:c>
      <x:c r="D144" s="1">
        <x:v>5</x:v>
      </x:c>
      <x:c r="E144" s="1">
        <x:v>2.5</x:v>
      </x:c>
      <x:c r="F144" s="1">
        <x:v>0.05</x:v>
      </x:c>
      <x:c r="G144" s="1">
        <x:v>0</x:v>
      </x:c>
      <x:c r="H144" s="1">
        <x:v>0</x:v>
      </x:c>
      <x:c r="I144" s="1">
        <x:v>30</x:v>
      </x:c>
      <x:c r="J144" s="1">
        <x:v>0</x:v>
      </x:c>
      <x:c r="K144" s="1">
        <x:v>1</x:v>
      </x:c>
      <x:c r="L144" s="1">
        <x:v>2</x:v>
      </x:c>
      <x:c r="O144" s="3">
        <x:f t="shared" si="43"/>
        <x:v>15</x:v>
      </x:c>
      <x:c r="P144" s="3">
        <x:f t="shared" si="44"/>
        <x:v>15</x:v>
      </x:c>
      <x:c r="R144" s="3">
        <x:f t="shared" si="42"/>
        <x:v>9.0800000000000001</x:v>
      </x:c>
      <x:c r="S144" s="3">
        <x:f t="shared" si="42"/>
        <x:v>9.0800000000000001</x:v>
      </x:c>
      <x:c r="U144" s="6">
        <x:f>O144-$R$4</x:f>
        <x:v>5.9199999999999999</x:v>
      </x:c>
      <x:c r="V144" s="6">
        <x:f>P144-$S$4</x:f>
        <x:v>5.9199999999999999</x:v>
      </x:c>
    </x:row>
    <x:row r="145" spans="1:22">
      <x:c r="A145" s="1">
        <x:f>A142+300</x:f>
        <x:v>1408</x:v>
      </x:c>
      <x:c r="B145" s="1" t="s">
        <x:v>6</x:v>
      </x:c>
      <x:c r="C145" s="1">
        <x:v>1</x:v>
      </x:c>
      <x:c r="D145" s="1">
        <x:v>1</x:v>
      </x:c>
      <x:c r="E145" s="1">
        <x:v>1</x:v>
      </x:c>
      <x:c r="F145" s="1">
        <x:v>1</x:v>
      </x:c>
      <x:c r="G145" s="1">
        <x:v>0</x:v>
      </x:c>
      <x:c r="H145" s="1">
        <x:v>0</x:v>
      </x:c>
      <x:c r="I145" s="1">
        <x:v>1</x:v>
      </x:c>
      <x:c r="J145" s="1">
        <x:v>10</x:v>
      </x:c>
      <x:c r="K145" s="1">
        <x:v>1</x:v>
      </x:c>
      <x:c r="L145" s="1">
        <x:v>0</x:v>
      </x:c>
      <x:c r="O145" s="3">
        <x:f t="shared" si="43"/>
        <x:v>60</x:v>
      </x:c>
      <x:c r="P145" s="3">
        <x:f t="shared" si="44"/>
        <x:v>60</x:v>
      </x:c>
      <x:c r="R145" s="3">
        <x:f t="shared" si="42"/>
        <x:v>7.5</x:v>
      </x:c>
      <x:c r="S145" s="3">
        <x:f t="shared" si="42"/>
        <x:v>7.5</x:v>
      </x:c>
      <x:c r="U145" s="7">
        <x:f>O145-$R$5</x:f>
        <x:v>52.5</x:v>
      </x:c>
      <x:c r="V145" s="7">
        <x:f>P145-$S$5</x:f>
        <x:v>52.5</x:v>
      </x:c>
    </x:row>
    <x:row r="146" spans="1:22">
      <x:c r="A146" s="1">
        <x:f>A142+1000</x:f>
        <x:v>2108</x:v>
      </x:c>
      <x:c r="B146" s="1" t="str">
        <x:f>B142</x:f>
        <x:v>(광역) 전기 타워</x:v>
      </x:c>
      <x:c r="C146" s="1">
        <x:v>1</x:v>
      </x:c>
      <x:c r="D146" s="1">
        <x:f>ROUND(D142*1.8,2)</x:f>
        <x:v>1.28</x:v>
      </x:c>
      <x:c r="E146" s="1">
        <x:f>ROUND(E142,2)</x:f>
        <x:v>2.5</x:v>
      </x:c>
      <x:c r="F146" s="1">
        <x:f>ROUND(F142*2.1,2)</x:f>
        <x:v>0.94999999999999996</x:v>
      </x:c>
      <x:c r="G146" s="1">
        <x:f>IF(G142*1.2&lt;=1,G142*1.2,1)</x:f>
        <x:v>0.0059999999999999998</x:v>
      </x:c>
      <x:c r="H146" s="1">
        <x:f>ROUND(H142*1.2,2)</x:f>
        <x:v>4.7999999999999998</x:v>
      </x:c>
      <x:c r="I146" s="1">
        <x:f>ROUND(I142*1.5,2)</x:f>
        <x:v>0.75</x:v>
      </x:c>
      <x:c r="J146" s="1">
        <x:v>25</x:v>
      </x:c>
      <x:c r="K146" s="1">
        <x:v>10</x:v>
      </x:c>
      <x:c r="L146" s="1">
        <x:f>L142</x:f>
        <x:v>3</x:v>
      </x:c>
      <x:c r="O146" s="3">
        <x:f t="shared" si="43"/>
        <x:v>72.959999999999994</x:v>
      </x:c>
      <x:c r="P146" s="3">
        <x:f t="shared" si="44"/>
        <x:v>75.5</x:v>
      </x:c>
      <x:c r="R146" s="3">
        <x:f t="shared" si="42"/>
        <x:v>96.689999999999998</x:v>
      </x:c>
      <x:c r="S146" s="3">
        <x:f t="shared" si="42"/>
        <x:v>103.51000000000001</x:v>
      </x:c>
      <x:c r="U146" s="4">
        <x:f>O146-$R$6</x:f>
        <x:v>-23.730000000000004</x:v>
      </x:c>
      <x:c r="V146" s="4">
        <x:f>P146-$S$6</x:f>
        <x:v>-28.010000000000005</x:v>
      </x:c>
    </x:row>
    <x:row r="147" spans="1:22">
      <x:c r="A147" s="1">
        <x:f>A143+1000</x:f>
        <x:v>2208</x:v>
      </x:c>
      <x:c r="B147" s="1" t="str">
        <x:f>B143</x:f>
        <x:v>(단일) 전기 타워</x:v>
      </x:c>
      <x:c r="C147" s="1">
        <x:v>1</x:v>
      </x:c>
      <x:c r="D147" s="1">
        <x:f>ROUND(D143*1.7,2)</x:f>
        <x:v>0.93999999999999995</x:v>
      </x:c>
      <x:c r="E147" s="1">
        <x:f>ROUND(E143,2)</x:f>
        <x:v>2.5</x:v>
      </x:c>
      <x:c r="F147" s="1">
        <x:f>ROUND(F143*2.2,2)</x:f>
        <x:v>1.3600000000000001</x:v>
      </x:c>
      <x:c r="G147" s="1">
        <x:f>IF(G143*1.2&lt;=1,G143*1.2,1)</x:f>
        <x:v>0.0095999999999999996</x:v>
      </x:c>
      <x:c r="H147" s="1">
        <x:f>ROUND(H143*1.2,2)</x:f>
        <x:v>3.96</x:v>
      </x:c>
      <x:c r="I147" s="1">
        <x:f t="shared" ref="I147:I161" si="45">I143</x:f>
        <x:v>0</x:v>
      </x:c>
      <x:c r="J147" s="1">
        <x:v>0</x:v>
      </x:c>
      <x:c r="K147" s="1">
        <x:v>15</x:v>
      </x:c>
      <x:c r="L147" s="1">
        <x:v>0</x:v>
      </x:c>
      <x:c r="O147" s="3">
        <x:f t="shared" si="43"/>
        <x:v>76.700000000000003</x:v>
      </x:c>
      <x:c r="P147" s="3">
        <x:f t="shared" si="44"/>
        <x:v>80.349999999999994</x:v>
      </x:c>
      <x:c r="R147" s="3">
        <x:f t="shared" si="42"/>
        <x:v>127.56999999999999</x:v>
      </x:c>
      <x:c r="S147" s="3">
        <x:f t="shared" si="42"/>
        <x:v>139.41</x:v>
      </x:c>
      <x:c r="U147" s="5">
        <x:f>O147-$R$7</x:f>
        <x:v>-50.86999999999999</x:v>
      </x:c>
      <x:c r="V147" s="5">
        <x:f>P147-$S$7</x:f>
        <x:v>-59.060000000000002</x:v>
      </x:c>
    </x:row>
    <x:row r="148" spans="1:22">
      <x:c r="A148" s="1">
        <x:f t="shared" ref="A148:A161" si="46">A144+1000</x:f>
        <x:v>2308</x:v>
      </x:c>
      <x:c r="B148" s="1" t="str">
        <x:f>B144</x:f>
        <x:v>(함정) 전기 타워</x:v>
      </x:c>
      <x:c r="C148" s="1">
        <x:v>1</x:v>
      </x:c>
      <x:c r="D148" s="1">
        <x:f>ROUND(D144*2,2)</x:f>
        <x:v>10</x:v>
      </x:c>
      <x:c r="E148" s="1">
        <x:f>ROUND(E144,2)</x:f>
        <x:v>2.5</x:v>
      </x:c>
      <x:c r="F148" s="1">
        <x:f>ROUND(F144*2.1,2)</x:f>
        <x:v>0.11</x:v>
      </x:c>
      <x:c r="G148" s="1">
        <x:v>0</x:v>
      </x:c>
      <x:c r="H148" s="1">
        <x:v>0</x:v>
      </x:c>
      <x:c r="I148" s="1">
        <x:f t="shared" si="45"/>
        <x:v>30</x:v>
      </x:c>
      <x:c r="J148" s="1">
        <x:v>0</x:v>
      </x:c>
      <x:c r="K148" s="1">
        <x:v>1</x:v>
      </x:c>
      <x:c r="L148" s="1">
        <x:f>L144</x:f>
        <x:v>2</x:v>
      </x:c>
      <x:c r="O148" s="3">
        <x:f t="shared" si="43"/>
        <x:v>66</x:v>
      </x:c>
      <x:c r="P148" s="3">
        <x:f t="shared" si="44"/>
        <x:v>66</x:v>
      </x:c>
      <x:c r="R148" s="3">
        <x:f t="shared" si="42"/>
        <x:v>38.280000000000001</x:v>
      </x:c>
      <x:c r="S148" s="3">
        <x:f t="shared" si="42"/>
        <x:v>38.280000000000001</x:v>
      </x:c>
      <x:c r="U148" s="6">
        <x:f>O148-$R$8</x:f>
        <x:v>27.719999999999999</x:v>
      </x:c>
      <x:c r="V148" s="6">
        <x:f>P148-$S$8</x:f>
        <x:v>27.719999999999999</x:v>
      </x:c>
    </x:row>
    <x:row r="149" spans="1:22">
      <x:c r="A149" s="1">
        <x:f t="shared" si="46"/>
        <x:v>2408</x:v>
      </x:c>
      <x:c r="B149" s="1" t="str">
        <x:f>B145</x:f>
        <x:v>(버프) 전기 타워</x:v>
      </x:c>
      <x:c r="C149" s="1">
        <x:v>1</x:v>
      </x:c>
      <x:c r="D149" s="1">
        <x:v>2</x:v>
      </x:c>
      <x:c r="E149" s="1">
        <x:f>E145+0</x:f>
        <x:v>1</x:v>
      </x:c>
      <x:c r="F149" s="1">
        <x:v>1</x:v>
      </x:c>
      <x:c r="G149" s="1">
        <x:v>0</x:v>
      </x:c>
      <x:c r="H149" s="1">
        <x:v>0</x:v>
      </x:c>
      <x:c r="I149" s="1">
        <x:f t="shared" si="45"/>
        <x:v>1</x:v>
      </x:c>
      <x:c r="J149" s="1">
        <x:v>50</x:v>
      </x:c>
      <x:c r="K149" s="1">
        <x:v>1</x:v>
      </x:c>
      <x:c r="L149" s="1">
        <x:v>0</x:v>
      </x:c>
      <x:c r="O149" s="3">
        <x:f t="shared" si="43"/>
        <x:v>120</x:v>
      </x:c>
      <x:c r="P149" s="3">
        <x:f t="shared" si="44"/>
        <x:v>120</x:v>
      </x:c>
      <x:c r="R149" s="3">
        <x:f t="shared" si="42"/>
        <x:v>15</x:v>
      </x:c>
      <x:c r="S149" s="3">
        <x:f t="shared" si="42"/>
        <x:v>15</x:v>
      </x:c>
      <x:c r="U149" s="7">
        <x:f>O149-$R$9</x:f>
        <x:v>105</x:v>
      </x:c>
      <x:c r="V149" s="7">
        <x:f>P149-$S$9</x:f>
        <x:v>105</x:v>
      </x:c>
    </x:row>
    <x:row r="150" spans="1:22">
      <x:c r="A150" s="1">
        <x:f t="shared" si="46"/>
        <x:v>3108</x:v>
      </x:c>
      <x:c r="B150" s="1" t="str">
        <x:f>B142</x:f>
        <x:v>(광역) 전기 타워</x:v>
      </x:c>
      <x:c r="C150" s="1">
        <x:v>1</x:v>
      </x:c>
      <x:c r="D150" s="1">
        <x:f>ROUND(D146*2.25,2)</x:f>
        <x:v>2.8799999999999999</x:v>
      </x:c>
      <x:c r="E150" s="1">
        <x:f>ROUND(E146,2)</x:f>
        <x:v>2.5</x:v>
      </x:c>
      <x:c r="F150" s="1">
        <x:f>ROUND(F146*2.2,2)</x:f>
        <x:v>2.0899999999999999</x:v>
      </x:c>
      <x:c r="G150" s="1">
        <x:f>IF(G146*1.4&lt;=1,G146*1.4,1)</x:f>
        <x:v>0.0083999999999999997</x:v>
      </x:c>
      <x:c r="H150" s="1">
        <x:f>ROUND(H146*1.5,2)</x:f>
        <x:v>7.2000000000000002</x:v>
      </x:c>
      <x:c r="I150" s="1">
        <x:f>ROUND(I142*2,2)</x:f>
        <x:v>1</x:v>
      </x:c>
      <x:c r="J150" s="1">
        <x:v>60</x:v>
      </x:c>
      <x:c r="K150" s="1">
        <x:v>10</x:v>
      </x:c>
      <x:c r="L150" s="1">
        <x:f>L142*1.5</x:f>
        <x:v>4.5</x:v>
      </x:c>
      <x:c r="O150" s="3">
        <x:f t="shared" si="43"/>
        <x:v>361.14999999999998</x:v>
      </x:c>
      <x:c r="P150" s="3">
        <x:f t="shared" si="44"/>
        <x:v>386.02999999999997</x:v>
      </x:c>
      <x:c r="R150" s="3">
        <x:f t="shared" si="42"/>
        <x:v>479.72000000000003</x:v>
      </x:c>
      <x:c r="S150" s="3">
        <x:f t="shared" si="42"/>
        <x:v>530</x:v>
      </x:c>
      <x:c r="U150" s="4">
        <x:f>O150-$R$10</x:f>
        <x:v>-118.57000000000005</x:v>
      </x:c>
      <x:c r="V150" s="4">
        <x:f>P150-$S$10</x:f>
        <x:v>-143.97000000000003</x:v>
      </x:c>
    </x:row>
    <x:row r="151" spans="1:22">
      <x:c r="A151" s="1">
        <x:f t="shared" si="46"/>
        <x:v>3208</x:v>
      </x:c>
      <x:c r="B151" s="1" t="str">
        <x:f>B143</x:f>
        <x:v>(단일) 전기 타워</x:v>
      </x:c>
      <x:c r="C151" s="1">
        <x:v>1</x:v>
      </x:c>
      <x:c r="D151" s="1">
        <x:f>ROUND(D147*2,2)</x:f>
        <x:v>1.8799999999999999</x:v>
      </x:c>
      <x:c r="E151" s="1">
        <x:f>ROUND(E147,2)</x:f>
        <x:v>2.5</x:v>
      </x:c>
      <x:c r="F151" s="1">
        <x:f>ROUND(F147*2.4,2)</x:f>
        <x:v>3.2599999999999998</x:v>
      </x:c>
      <x:c r="G151" s="1">
        <x:f>IF(G147*1.4&lt;=1,G147*1.4,1)</x:f>
        <x:v>0.013439999999999999</x:v>
      </x:c>
      <x:c r="H151" s="1">
        <x:f>ROUND(H147*1.5,2)</x:f>
        <x:v>5.9400000000000004</x:v>
      </x:c>
      <x:c r="I151" s="1">
        <x:f t="shared" si="45"/>
        <x:v>0</x:v>
      </x:c>
      <x:c r="J151" s="1">
        <x:v>0</x:v>
      </x:c>
      <x:c r="K151" s="1">
        <x:v>15</x:v>
      </x:c>
      <x:c r="L151" s="1">
        <x:v>0</x:v>
      </x:c>
      <x:c r="O151" s="3">
        <x:f t="shared" si="43"/>
        <x:v>367.73000000000002</x:v>
      </x:c>
      <x:c r="P151" s="3">
        <x:f t="shared" si="44"/>
        <x:v>402.02999999999997</x:v>
      </x:c>
      <x:c r="R151" s="3">
        <x:f t="shared" si="42"/>
        <x:v>612.57000000000005</x:v>
      </x:c>
      <x:c r="S151" s="3">
        <x:f t="shared" si="42"/>
        <x:v>699.50999999999999</x:v>
      </x:c>
      <x:c r="U151" s="5">
        <x:f>O151-$R$11</x:f>
        <x:v>-244.84000000000003</x:v>
      </x:c>
      <x:c r="V151" s="5">
        <x:f>P151-$S$11</x:f>
        <x:v>-297.48000000000002</x:v>
      </x:c>
    </x:row>
    <x:row r="152" spans="1:22">
      <x:c r="A152" s="1">
        <x:f t="shared" si="46"/>
        <x:v>3308</x:v>
      </x:c>
      <x:c r="B152" s="1" t="str">
        <x:f>B144</x:f>
        <x:v>(함정) 전기 타워</x:v>
      </x:c>
      <x:c r="C152" s="1">
        <x:v>1</x:v>
      </x:c>
      <x:c r="D152" s="1">
        <x:f>ROUND(D148*2.5,2)</x:f>
        <x:v>25</x:v>
      </x:c>
      <x:c r="E152" s="1">
        <x:f>ROUND(E148,2)</x:f>
        <x:v>2.5</x:v>
      </x:c>
      <x:c r="F152" s="1">
        <x:f>ROUND(F148*2.2,2)</x:f>
        <x:v>0.23999999999999999</x:v>
      </x:c>
      <x:c r="G152" s="1">
        <x:v>0</x:v>
      </x:c>
      <x:c r="H152" s="1">
        <x:v>0</x:v>
      </x:c>
      <x:c r="I152" s="1">
        <x:f t="shared" si="45"/>
        <x:v>30</x:v>
      </x:c>
      <x:c r="J152" s="1">
        <x:v>0</x:v>
      </x:c>
      <x:c r="K152" s="1">
        <x:v>1</x:v>
      </x:c>
      <x:c r="L152" s="1">
        <x:f>L144*1.5</x:f>
        <x:v>3</x:v>
      </x:c>
      <x:c r="O152" s="3">
        <x:f t="shared" si="43"/>
        <x:v>360</x:v>
      </x:c>
      <x:c r="P152" s="3">
        <x:f t="shared" si="44"/>
        <x:v>360</x:v>
      </x:c>
      <x:c r="R152" s="3">
        <x:f t="shared" si="42"/>
        <x:v>208.80000000000001</x:v>
      </x:c>
      <x:c r="S152" s="3">
        <x:f t="shared" si="42"/>
        <x:v>208.80000000000001</x:v>
      </x:c>
      <x:c r="U152" s="6">
        <x:f>O152-$R$12</x:f>
        <x:v>151.19999999999999</x:v>
      </x:c>
      <x:c r="V152" s="6">
        <x:f>P152-$S$12</x:f>
        <x:v>151.19999999999999</x:v>
      </x:c>
    </x:row>
    <x:row r="153" spans="1:22">
      <x:c r="A153" s="1">
        <x:f t="shared" si="46"/>
        <x:v>3408</x:v>
      </x:c>
      <x:c r="B153" s="1" t="str">
        <x:f>B145</x:f>
        <x:v>(버프) 전기 타워</x:v>
      </x:c>
      <x:c r="C153" s="1">
        <x:v>1</x:v>
      </x:c>
      <x:c r="D153" s="1">
        <x:v>3</x:v>
      </x:c>
      <x:c r="E153" s="1">
        <x:f>E149+1</x:f>
        <x:v>2</x:v>
      </x:c>
      <x:c r="F153" s="1">
        <x:v>1</x:v>
      </x:c>
      <x:c r="G153" s="1">
        <x:v>0</x:v>
      </x:c>
      <x:c r="H153" s="1">
        <x:v>0</x:v>
      </x:c>
      <x:c r="I153" s="1">
        <x:f t="shared" si="45"/>
        <x:v>1</x:v>
      </x:c>
      <x:c r="J153" s="1">
        <x:v>120</x:v>
      </x:c>
      <x:c r="K153" s="1">
        <x:v>1</x:v>
      </x:c>
      <x:c r="L153" s="1">
        <x:v>0</x:v>
      </x:c>
      <x:c r="O153" s="3">
        <x:f t="shared" si="43"/>
        <x:v>180</x:v>
      </x:c>
      <x:c r="P153" s="3">
        <x:f t="shared" si="44"/>
        <x:v>180</x:v>
      </x:c>
      <x:c r="R153" s="3">
        <x:f t="shared" si="42"/>
        <x:v>22.5</x:v>
      </x:c>
      <x:c r="S153" s="3">
        <x:f t="shared" si="42"/>
        <x:v>22.5</x:v>
      </x:c>
      <x:c r="U153" s="7">
        <x:f>O153-$R$13</x:f>
        <x:v>157.5</x:v>
      </x:c>
      <x:c r="V153" s="7">
        <x:f>P153-$S$13</x:f>
        <x:v>157.5</x:v>
      </x:c>
    </x:row>
    <x:row r="154" spans="1:22">
      <x:c r="A154" s="1">
        <x:f t="shared" si="46"/>
        <x:v>4108</x:v>
      </x:c>
      <x:c r="B154" s="1" t="str">
        <x:f>B142</x:f>
        <x:v>(광역) 전기 타워</x:v>
      </x:c>
      <x:c r="C154" s="1">
        <x:v>1</x:v>
      </x:c>
      <x:c r="D154" s="1">
        <x:f>ROUND(D150*3,2)</x:f>
        <x:v>8.6400000000000006</x:v>
      </x:c>
      <x:c r="E154" s="1">
        <x:f>ROUND(E150*1.1,2)</x:f>
        <x:v>2.75</x:v>
      </x:c>
      <x:c r="F154" s="1">
        <x:f>ROUND(F150*2.5,2)</x:f>
        <x:v>5.2300000000000004</x:v>
      </x:c>
      <x:c r="G154" s="1">
        <x:f>IF(G150*1.6&lt;=1,G150*1.6,1)</x:f>
        <x:v>0.013440000000000002</x:v>
      </x:c>
      <x:c r="H154" s="1">
        <x:f>ROUND(H150*2,2)</x:f>
        <x:v>14.4</x:v>
      </x:c>
      <x:c r="I154" s="1">
        <x:f>ROUND(I142*3,2)</x:f>
        <x:v>1.5</x:v>
      </x:c>
      <x:c r="J154" s="1">
        <x:v>150</x:v>
      </x:c>
      <x:c r="K154" s="1">
        <x:v>10</x:v>
      </x:c>
      <x:c r="L154" s="1">
        <x:f>L142*2</x:f>
        <x:v>6</x:v>
      </x:c>
      <x:c r="O154" s="3">
        <x:f t="shared" si="43"/>
        <x:v>2711.23</x:v>
      </x:c>
      <x:c r="P154" s="3">
        <x:f t="shared" si="44"/>
        <x:v>3272.3899999999999</x:v>
      </x:c>
      <x:c r="R154" s="3">
        <x:f t="shared" si="42"/>
        <x:v>3601.5900000000001</x:v>
      </x:c>
      <x:c r="S154" s="3">
        <x:f t="shared" si="42"/>
        <x:v>4306.1000000000004</x:v>
      </x:c>
      <x:c r="U154" s="4">
        <x:f>O154-$R$14</x:f>
        <x:v>-890.36000000000013</x:v>
      </x:c>
      <x:c r="V154" s="4">
        <x:f>P154-$S$14</x:f>
        <x:v>-1033.7100000000005</x:v>
      </x:c>
    </x:row>
    <x:row r="155" spans="1:22">
      <x:c r="A155" s="1">
        <x:f t="shared" si="46"/>
        <x:v>4208</x:v>
      </x:c>
      <x:c r="B155" s="1" t="str">
        <x:f>B143</x:f>
        <x:v>(단일) 전기 타워</x:v>
      </x:c>
      <x:c r="C155" s="1">
        <x:v>1</x:v>
      </x:c>
      <x:c r="D155" s="1">
        <x:f>ROUND(D151*3,2)</x:f>
        <x:v>5.6399999999999997</x:v>
      </x:c>
      <x:c r="E155" s="1">
        <x:f>ROUND(E151*1.1,2)</x:f>
        <x:v>2.75</x:v>
      </x:c>
      <x:c r="F155" s="1">
        <x:f>ROUND(F151*2.75,2)</x:f>
        <x:v>8.9700000000000006</x:v>
      </x:c>
      <x:c r="G155" s="1">
        <x:f>IF(G151*1.6&lt;=1,G151*1.6,1)</x:f>
        <x:v>0.021503999999999998</x:v>
      </x:c>
      <x:c r="H155" s="1">
        <x:f>ROUND(H151*2,2)</x:f>
        <x:v>11.880000000000001</x:v>
      </x:c>
      <x:c r="I155" s="1">
        <x:f t="shared" si="45"/>
        <x:v>0</x:v>
      </x:c>
      <x:c r="J155" s="1">
        <x:v>0</x:v>
      </x:c>
      <x:c r="K155" s="1">
        <x:v>15</x:v>
      </x:c>
      <x:c r="L155" s="1">
        <x:v>0</x:v>
      </x:c>
      <x:c r="O155" s="3">
        <x:f t="shared" si="43"/>
        <x:v>3035.4499999999998</x:v>
      </x:c>
      <x:c r="P155" s="3">
        <x:f t="shared" si="44"/>
        <x:v>3876.1799999999998</x:v>
      </x:c>
      <x:c r="R155" s="3">
        <x:f t="shared" si="42"/>
        <x:v>5055.3500000000004</x:v>
      </x:c>
      <x:c r="S155" s="3">
        <x:f t="shared" si="42"/>
        <x:v>6489.9499999999998</x:v>
      </x:c>
      <x:c r="U155" s="5">
        <x:f>O155-$R$15</x:f>
        <x:v>-2019.9000000000005</x:v>
      </x:c>
      <x:c r="V155" s="5">
        <x:f>P155-$S$15</x:f>
        <x:v>-2613.77</x:v>
      </x:c>
    </x:row>
    <x:row r="156" spans="1:22">
      <x:c r="A156" s="1">
        <x:f t="shared" si="46"/>
        <x:v>4308</x:v>
      </x:c>
      <x:c r="B156" s="1" t="str">
        <x:f>B144</x:f>
        <x:v>(함정) 전기 타워</x:v>
      </x:c>
      <x:c r="C156" s="1">
        <x:v>1</x:v>
      </x:c>
      <x:c r="D156" s="1">
        <x:f>ROUND(D152*3,2)</x:f>
        <x:v>75</x:v>
      </x:c>
      <x:c r="E156" s="1">
        <x:f>ROUND(E152*1.1,2)</x:f>
        <x:v>2.75</x:v>
      </x:c>
      <x:c r="F156" s="1">
        <x:f>ROUND(F152*2.5,2)</x:f>
        <x:v>0.59999999999999998</x:v>
      </x:c>
      <x:c r="G156" s="1">
        <x:v>0</x:v>
      </x:c>
      <x:c r="H156" s="1">
        <x:v>0</x:v>
      </x:c>
      <x:c r="I156" s="1">
        <x:f t="shared" si="45"/>
        <x:v>30</x:v>
      </x:c>
      <x:c r="J156" s="1">
        <x:v>0</x:v>
      </x:c>
      <x:c r="K156" s="1">
        <x:v>1</x:v>
      </x:c>
      <x:c r="L156" s="1">
        <x:f>L144*2</x:f>
        <x:v>4</x:v>
      </x:c>
      <x:c r="O156" s="3">
        <x:f t="shared" si="43"/>
        <x:v>2700</x:v>
      </x:c>
      <x:c r="P156" s="3">
        <x:f t="shared" si="44"/>
        <x:v>2700</x:v>
      </x:c>
      <x:c r="R156" s="3">
        <x:f t="shared" si="42"/>
        <x:v>1570.5</x:v>
      </x:c>
      <x:c r="S156" s="3">
        <x:f t="shared" si="42"/>
        <x:v>1570.5</x:v>
      </x:c>
      <x:c r="U156" s="6">
        <x:f>O156-$R$16</x:f>
        <x:v>1129.5</x:v>
      </x:c>
      <x:c r="V156" s="6">
        <x:f>P156-$S$16</x:f>
        <x:v>1129.5</x:v>
      </x:c>
    </x:row>
    <x:row r="157" spans="1:22">
      <x:c r="A157" s="1">
        <x:f t="shared" si="46"/>
        <x:v>4408</x:v>
      </x:c>
      <x:c r="B157" s="1" t="str">
        <x:f>B145</x:f>
        <x:v>(버프) 전기 타워</x:v>
      </x:c>
      <x:c r="C157" s="1">
        <x:v>1</x:v>
      </x:c>
      <x:c r="D157" s="1">
        <x:v>5</x:v>
      </x:c>
      <x:c r="E157" s="1">
        <x:f>E153+2</x:f>
        <x:v>4</x:v>
      </x:c>
      <x:c r="F157" s="1">
        <x:v>1</x:v>
      </x:c>
      <x:c r="G157" s="1">
        <x:v>0</x:v>
      </x:c>
      <x:c r="H157" s="1">
        <x:v>0</x:v>
      </x:c>
      <x:c r="I157" s="1">
        <x:f t="shared" si="45"/>
        <x:v>1</x:v>
      </x:c>
      <x:c r="J157" s="1">
        <x:v>500</x:v>
      </x:c>
      <x:c r="K157" s="1">
        <x:v>1</x:v>
      </x:c>
      <x:c r="L157" s="1">
        <x:v>0</x:v>
      </x:c>
      <x:c r="O157" s="3">
        <x:f t="shared" si="43"/>
        <x:v>300</x:v>
      </x:c>
      <x:c r="P157" s="3">
        <x:f t="shared" si="44"/>
        <x:v>300</x:v>
      </x:c>
      <x:c r="R157" s="3">
        <x:f t="shared" si="42"/>
        <x:v>37.5</x:v>
      </x:c>
      <x:c r="S157" s="3">
        <x:f t="shared" si="42"/>
        <x:v>37.5</x:v>
      </x:c>
      <x:c r="U157" s="7">
        <x:f>O157-$R$17</x:f>
        <x:v>262.5</x:v>
      </x:c>
      <x:c r="V157" s="7">
        <x:f>P157-$S$17</x:f>
        <x:v>262.5</x:v>
      </x:c>
    </x:row>
    <x:row r="158" spans="1:22">
      <x:c r="A158" s="1">
        <x:f t="shared" si="46"/>
        <x:v>5108</x:v>
      </x:c>
      <x:c r="B158" s="1" t="str">
        <x:f>B142</x:f>
        <x:v>(광역) 전기 타워</x:v>
      </x:c>
      <x:c r="C158" s="1">
        <x:v>1</x:v>
      </x:c>
      <x:c r="D158" s="1">
        <x:f>ROUND(D154*4.2,2)</x:f>
        <x:v>36.289999999999999</x:v>
      </x:c>
      <x:c r="E158" s="1">
        <x:f>ROUND(E154*1.25,2)</x:f>
        <x:v>3.4399999999999999</x:v>
      </x:c>
      <x:c r="F158" s="1">
        <x:f>ROUND(F154*3,2)</x:f>
        <x:v>15.69</x:v>
      </x:c>
      <x:c r="G158" s="1">
        <x:f>IF(G154*1.8&lt;=1,G154*1.8,1)</x:f>
        <x:v>0.024192000000000002</x:v>
      </x:c>
      <x:c r="H158" s="1">
        <x:f>ROUND(H154*2.8,2)</x:f>
        <x:v>40.32</x:v>
      </x:c>
      <x:c r="I158" s="1">
        <x:f>ROUND(I142*5,2)</x:f>
        <x:v>2.5</x:v>
      </x:c>
      <x:c r="J158" s="1">
        <x:v>525</x:v>
      </x:c>
      <x:c r="K158" s="1">
        <x:v>10</x:v>
      </x:c>
      <x:c r="L158" s="1">
        <x:f>L142*3</x:f>
        <x:v>9</x:v>
      </x:c>
      <x:c r="O158" s="3">
        <x:f t="shared" si="43"/>
        <x:v>34163.410000000003</x:v>
      </x:c>
      <x:c r="P158" s="3">
        <x:f t="shared" si="44"/>
        <x:v>68313.610000000001</x:v>
      </x:c>
      <x:c r="R158" s="3">
        <x:f t="shared" si="42"/>
        <x:v>45381.339999999997</x:v>
      </x:c>
      <x:c r="S158" s="3">
        <x:f t="shared" si="42"/>
        <x:v>69583.229999999996</x:v>
      </x:c>
      <x:c r="U158" s="4">
        <x:f>O158-$R$18</x:f>
        <x:v>-11217.929999999993</x:v>
      </x:c>
      <x:c r="V158" s="4">
        <x:f>P158-$S$18</x:f>
        <x:v>-1269.6199999999953</x:v>
      </x:c>
    </x:row>
    <x:row r="159" spans="1:22">
      <x:c r="A159" s="1">
        <x:f t="shared" si="46"/>
        <x:v>5208</x:v>
      </x:c>
      <x:c r="B159" s="1" t="str">
        <x:f>B143</x:f>
        <x:v>(단일) 전기 타워</x:v>
      </x:c>
      <x:c r="C159" s="1">
        <x:v>1</x:v>
      </x:c>
      <x:c r="D159" s="1">
        <x:f>ROUND(D155*5,2)</x:f>
        <x:v>28.199999999999999</x:v>
      </x:c>
      <x:c r="E159" s="1">
        <x:f t="shared" ref="E159:E160" si="47">ROUND(E155*1.25,2)</x:f>
        <x:v>3.4399999999999999</x:v>
      </x:c>
      <x:c r="F159" s="1">
        <x:f>ROUND(F155*4,2)</x:f>
        <x:v>35.880000000000003</x:v>
      </x:c>
      <x:c r="G159" s="1">
        <x:f>IF(G155*1.8&lt;=1,G155*1.8,1)</x:f>
        <x:v>0.038707199999999997</x:v>
      </x:c>
      <x:c r="H159" s="1">
        <x:f>ROUND(H155*2.8,2)</x:f>
        <x:v>33.259999999999998</x:v>
      </x:c>
      <x:c r="I159" s="1">
        <x:f t="shared" si="45"/>
        <x:v>0</x:v>
      </x:c>
      <x:c r="J159" s="1">
        <x:v>0</x:v>
      </x:c>
      <x:c r="K159" s="1">
        <x:v>15</x:v>
      </x:c>
      <x:c r="L159" s="1">
        <x:v>0</x:v>
      </x:c>
      <x:c r="O159" s="3">
        <x:f t="shared" si="43"/>
        <x:v>60708.959999999999</x:v>
      </x:c>
      <x:c r="P159" s="3">
        <x:f t="shared" si="44"/>
        <x:v>141215.64000000001</x:v>
      </x:c>
      <x:c r="R159" s="3">
        <x:f t="shared" si="42"/>
        <x:v>101106.89999999999</x:v>
      </x:c>
      <x:c r="S159" s="3">
        <x:f t="shared" si="42"/>
        <x:v>189869.89999999999</x:v>
      </x:c>
      <x:c r="U159" s="5">
        <x:f>O159-$R$19</x:f>
        <x:v>-40397.939999999995</x:v>
      </x:c>
      <x:c r="V159" s="5">
        <x:f>P159-$S$19</x:f>
        <x:v>-48654.25999999998</x:v>
      </x:c>
    </x:row>
    <x:row r="160" spans="1:22">
      <x:c r="A160" s="1">
        <x:f t="shared" si="46"/>
        <x:v>5308</x:v>
      </x:c>
      <x:c r="B160" s="1" t="str">
        <x:f>B144</x:f>
        <x:v>(함정) 전기 타워</x:v>
      </x:c>
      <x:c r="C160" s="1">
        <x:v>1</x:v>
      </x:c>
      <x:c r="D160" s="1">
        <x:f>ROUND(D156*5,2)</x:f>
        <x:v>375</x:v>
      </x:c>
      <x:c r="E160" s="1">
        <x:f t="shared" si="47"/>
        <x:v>3.4399999999999999</x:v>
      </x:c>
      <x:c r="F160" s="1">
        <x:f>ROUND(F156*3,2)</x:f>
        <x:v>1.8</x:v>
      </x:c>
      <x:c r="G160" s="1">
        <x:v>0</x:v>
      </x:c>
      <x:c r="H160" s="1">
        <x:v>0</x:v>
      </x:c>
      <x:c r="I160" s="1">
        <x:f t="shared" si="45"/>
        <x:v>30</x:v>
      </x:c>
      <x:c r="J160" s="1">
        <x:v>0</x:v>
      </x:c>
      <x:c r="K160" s="1">
        <x:v>1</x:v>
      </x:c>
      <x:c r="L160" s="1">
        <x:f>L144*3</x:f>
        <x:v>6</x:v>
      </x:c>
      <x:c r="O160" s="3">
        <x:f t="shared" si="43"/>
        <x:v>40500</x:v>
      </x:c>
      <x:c r="P160" s="3">
        <x:f t="shared" si="44"/>
        <x:v>40500</x:v>
      </x:c>
      <x:c r="R160" s="3">
        <x:f t="shared" si="42"/>
        <x:v>23557.5</x:v>
      </x:c>
      <x:c r="S160" s="3">
        <x:f t="shared" si="42"/>
        <x:v>23557.5</x:v>
      </x:c>
      <x:c r="U160" s="6">
        <x:f>O160-$R$20</x:f>
        <x:v>16942.5</x:v>
      </x:c>
      <x:c r="V160" s="6">
        <x:f>P160-$S$20</x:f>
        <x:v>16942.5</x:v>
      </x:c>
    </x:row>
    <x:row r="161" spans="1:22">
      <x:c r="A161" s="1">
        <x:f t="shared" si="46"/>
        <x:v>5408</x:v>
      </x:c>
      <x:c r="B161" s="1" t="str">
        <x:f>B145</x:f>
        <x:v>(버프) 전기 타워</x:v>
      </x:c>
      <x:c r="C161" s="1">
        <x:v>1</x:v>
      </x:c>
      <x:c r="D161" s="1">
        <x:v>10</x:v>
      </x:c>
      <x:c r="E161" s="1">
        <x:f>E157+3</x:f>
        <x:v>7</x:v>
      </x:c>
      <x:c r="F161" s="1">
        <x:v>1</x:v>
      </x:c>
      <x:c r="G161" s="1">
        <x:v>0</x:v>
      </x:c>
      <x:c r="H161" s="1">
        <x:v>0</x:v>
      </x:c>
      <x:c r="I161" s="1">
        <x:f t="shared" si="45"/>
        <x:v>1</x:v>
      </x:c>
      <x:c r="J161" s="1">
        <x:v>1500</x:v>
      </x:c>
      <x:c r="K161" s="1">
        <x:v>1</x:v>
      </x:c>
      <x:c r="L161" s="1">
        <x:v>0</x:v>
      </x:c>
      <x:c r="O161" s="3">
        <x:f t="shared" si="43"/>
        <x:v>600</x:v>
      </x:c>
      <x:c r="P161" s="3">
        <x:f t="shared" si="44"/>
        <x:v>600</x:v>
      </x:c>
      <x:c r="R161" s="3">
        <x:f t="shared" si="42"/>
        <x:v>75</x:v>
      </x:c>
      <x:c r="S161" s="3">
        <x:f t="shared" si="42"/>
        <x:v>75</x:v>
      </x:c>
      <x:c r="U161" s="7">
        <x:f>O161-$R$21</x:f>
        <x:v>525</x:v>
      </x:c>
      <x:c r="V161" s="7">
        <x:f>P161-$S$21</x:f>
        <x:v>525</x:v>
      </x:c>
    </x:row>
    <x:row r="162" spans="1:22">
      <x:c r="A162" s="1">
        <x:v>1109</x:v>
      </x:c>
      <x:c r="B162" s="1" t="s">
        <x:v>3</x:v>
      </x:c>
      <x:c r="C162" s="1">
        <x:v>1</x:v>
      </x:c>
      <x:c r="D162" s="1">
        <x:v>2.2000000000000002</x:v>
      </x:c>
      <x:c r="E162" s="1">
        <x:v>2.5</x:v>
      </x:c>
      <x:c r="F162" s="1">
        <x:v>0.17999999999999999</x:v>
      </x:c>
      <x:c r="G162" s="1">
        <x:v>0.14000000000000001</x:v>
      </x:c>
      <x:c r="H162" s="1">
        <x:v>0.010000000000000001</x:v>
      </x:c>
      <x:c r="I162" s="1">
        <x:v>0.5</x:v>
      </x:c>
      <x:c r="J162" s="1">
        <x:v>8.6957000000000004</x:v>
      </x:c>
      <x:c r="K162" s="1">
        <x:v>10</x:v>
      </x:c>
      <x:c r="L162" s="1">
        <x:v>3</x:v>
      </x:c>
      <x:c r="O162" s="3">
        <x:f>ROUND(60*(D162*F162),2)</x:f>
        <x:v>23.760000000000002</x:v>
      </x:c>
      <x:c r="P162" s="3">
        <x:f>ROUND((O162*G162*(2+H162))+O162*(1-G162),2)</x:f>
        <x:v>27.120000000000001</x:v>
      </x:c>
      <x:c r="R162" s="3">
        <x:f t="shared" ref="R162:S181" si="48">R2</x:f>
        <x:v>25.539999999999999</x:v>
      </x:c>
      <x:c r="S162" s="3">
        <x:f t="shared" si="48"/>
        <x:v>27.010000000000002</x:v>
      </x:c>
      <x:c r="U162" s="4">
        <x:f>O162-$R$2</x:f>
        <x:v>-1.7799999999999976</x:v>
      </x:c>
      <x:c r="V162" s="4">
        <x:f>P162-$S$2</x:f>
        <x:v>0.10999999999999943</x:v>
      </x:c>
    </x:row>
    <x:row r="163" spans="1:22">
      <x:c r="A163" s="1">
        <x:f>A162+100</x:f>
        <x:v>1209</x:v>
      </x:c>
      <x:c r="B163" s="1" t="s">
        <x:v>20</x:v>
      </x:c>
      <x:c r="C163" s="1">
        <x:v>1</x:v>
      </x:c>
      <x:c r="D163" s="1">
        <x:v>0.40000000000000002</x:v>
      </x:c>
      <x:c r="E163" s="1">
        <x:v>2.5</x:v>
      </x:c>
      <x:c r="F163" s="1">
        <x:v>0.87</x:v>
      </x:c>
      <x:c r="G163" s="1">
        <x:v>0.10100000000000001</x:v>
      </x:c>
      <x:c r="H163" s="1">
        <x:v>0.65000000000000002</x:v>
      </x:c>
      <x:c r="I163" s="1">
        <x:v>0</x:v>
      </x:c>
      <x:c r="J163" s="1">
        <x:v>0</x:v>
      </x:c>
      <x:c r="K163" s="1">
        <x:v>15</x:v>
      </x:c>
      <x:c r="L163" s="1">
        <x:v>0</x:v>
      </x:c>
      <x:c r="O163" s="3">
        <x:f t="shared" ref="O163:O181" si="49">ROUND(60*(D163*F163),2)</x:f>
        <x:v>20.879999999999999</x:v>
      </x:c>
      <x:c r="P163" s="3">
        <x:f t="shared" ref="P163:P181" si="50">ROUND((O163*G163*(2+H163))+O163*(1-G163),2)</x:f>
        <x:v>24.359999999999999</x:v>
      </x:c>
      <x:c r="R163" s="3">
        <x:f t="shared" si="48"/>
        <x:v>33.960000000000001</x:v>
      </x:c>
      <x:c r="S163" s="3">
        <x:f t="shared" si="48"/>
        <x:v>36.509999999999998</x:v>
      </x:c>
      <x:c r="U163" s="5">
        <x:f>O163-$R$3</x:f>
        <x:v>-13.080000000000002</x:v>
      </x:c>
      <x:c r="V163" s="5">
        <x:f>P163-$S$3</x:f>
        <x:v>-12.149999999999999</x:v>
      </x:c>
    </x:row>
    <x:row r="164" spans="1:22">
      <x:c r="A164" s="1">
        <x:f>A162+200</x:f>
        <x:v>1309</x:v>
      </x:c>
      <x:c r="B164" s="1" t="s">
        <x:v>12</x:v>
      </x:c>
      <x:c r="C164" s="1">
        <x:v>1</x:v>
      </x:c>
      <x:c r="D164" s="1">
        <x:v>2</x:v>
      </x:c>
      <x:c r="E164" s="1">
        <x:v>2.5</x:v>
      </x:c>
      <x:c r="F164" s="1">
        <x:v>0.10000000000000001</x:v>
      </x:c>
      <x:c r="G164" s="1">
        <x:v>0</x:v>
      </x:c>
      <x:c r="H164" s="1">
        <x:v>0</x:v>
      </x:c>
      <x:c r="I164" s="1">
        <x:v>30</x:v>
      </x:c>
      <x:c r="J164" s="1">
        <x:v>0</x:v>
      </x:c>
      <x:c r="K164" s="1">
        <x:v>1</x:v>
      </x:c>
      <x:c r="L164" s="1">
        <x:v>2</x:v>
      </x:c>
      <x:c r="O164" s="3">
        <x:f t="shared" si="49"/>
        <x:v>12</x:v>
      </x:c>
      <x:c r="P164" s="3">
        <x:f t="shared" si="50"/>
        <x:v>12</x:v>
      </x:c>
      <x:c r="R164" s="3">
        <x:f t="shared" si="48"/>
        <x:v>9.0800000000000001</x:v>
      </x:c>
      <x:c r="S164" s="3">
        <x:f t="shared" si="48"/>
        <x:v>9.0800000000000001</x:v>
      </x:c>
      <x:c r="U164" s="6">
        <x:f>O164-$R$4</x:f>
        <x:v>2.9199999999999999</x:v>
      </x:c>
      <x:c r="V164" s="6">
        <x:f>P164-$S$4</x:f>
        <x:v>2.9199999999999999</x:v>
      </x:c>
    </x:row>
    <x:row r="165" spans="1:22">
      <x:c r="A165" s="1">
        <x:f>A162+300</x:f>
        <x:v>1409</x:v>
      </x:c>
      <x:c r="B165" s="1" t="s">
        <x:v>5</x:v>
      </x:c>
      <x:c r="C165" s="1">
        <x:v>1</x:v>
      </x:c>
      <x:c r="D165" s="1">
        <x:v>0</x:v>
      </x:c>
      <x:c r="E165" s="1">
        <x:v>1</x:v>
      </x:c>
      <x:c r="F165" s="1">
        <x:v>1</x:v>
      </x:c>
      <x:c r="G165" s="1">
        <x:v>0</x:v>
      </x:c>
      <x:c r="H165" s="1">
        <x:v>0</x:v>
      </x:c>
      <x:c r="I165" s="1">
        <x:v>1</x:v>
      </x:c>
      <x:c r="J165" s="1" t="e">
        <x:f>IF(#REF!="Buff",1.2,8.6957)</x:f>
        <x:v>#REF!</x:v>
      </x:c>
      <x:c r="K165" s="1">
        <x:v>1</x:v>
      </x:c>
      <x:c r="L165" s="1">
        <x:v>0</x:v>
      </x:c>
      <x:c r="O165" s="3">
        <x:f t="shared" si="49"/>
        <x:v>0</x:v>
      </x:c>
      <x:c r="P165" s="3">
        <x:f t="shared" si="50"/>
        <x:v>0</x:v>
      </x:c>
      <x:c r="R165" s="3">
        <x:f t="shared" si="48"/>
        <x:v>7.5</x:v>
      </x:c>
      <x:c r="S165" s="3">
        <x:f t="shared" si="48"/>
        <x:v>7.5</x:v>
      </x:c>
      <x:c r="U165" s="7">
        <x:f>O165-$R$5</x:f>
        <x:v>-7.5</x:v>
      </x:c>
      <x:c r="V165" s="7">
        <x:f>P165-$S$5</x:f>
        <x:v>-7.5</x:v>
      </x:c>
    </x:row>
    <x:row r="166" spans="1:22">
      <x:c r="A166" s="1">
        <x:f>A162+1000</x:f>
        <x:v>2109</x:v>
      </x:c>
      <x:c r="B166" s="1" t="str">
        <x:f>B162</x:f>
        <x:v>(광역) 바람 타워</x:v>
      </x:c>
      <x:c r="C166" s="1">
        <x:v>1</x:v>
      </x:c>
      <x:c r="D166" s="1">
        <x:f>ROUND(D162*1.8,2)</x:f>
        <x:v>3.96</x:v>
      </x:c>
      <x:c r="E166" s="1">
        <x:f>ROUND(E162,2)</x:f>
        <x:v>2.5</x:v>
      </x:c>
      <x:c r="F166" s="1">
        <x:f>ROUND(F162*2.1,2)</x:f>
        <x:v>0.38</x:v>
      </x:c>
      <x:c r="G166" s="1">
        <x:f>IF(G162*1.2&lt;=1,G162*1.2,1)</x:f>
        <x:v>0.16800000000000001</x:v>
      </x:c>
      <x:c r="H166" s="1">
        <x:f>ROUND(H162*1.2,2)</x:f>
        <x:v>0.010000000000000001</x:v>
      </x:c>
      <x:c r="I166" s="1">
        <x:f>ROUND(I162*1.5,2)</x:f>
        <x:v>0.75</x:v>
      </x:c>
      <x:c r="J166" s="1">
        <x:v>25</x:v>
      </x:c>
      <x:c r="K166" s="1">
        <x:v>10</x:v>
      </x:c>
      <x:c r="L166" s="1">
        <x:f>L162</x:f>
        <x:v>3</x:v>
      </x:c>
      <x:c r="O166" s="3">
        <x:f t="shared" si="49"/>
        <x:v>90.290000000000006</x:v>
      </x:c>
      <x:c r="P166" s="3">
        <x:f t="shared" si="50"/>
        <x:v>105.61</x:v>
      </x:c>
      <x:c r="R166" s="3">
        <x:f t="shared" si="48"/>
        <x:v>96.689999999999998</x:v>
      </x:c>
      <x:c r="S166" s="3">
        <x:f t="shared" si="48"/>
        <x:v>103.51000000000001</x:v>
      </x:c>
      <x:c r="U166" s="4">
        <x:f>O166-$R$6</x:f>
        <x:v>-6.3999999999999915</x:v>
      </x:c>
      <x:c r="V166" s="4">
        <x:f>P166-$S$6</x:f>
        <x:v>2.0999999999999943</x:v>
      </x:c>
    </x:row>
    <x:row r="167" spans="1:22">
      <x:c r="A167" s="1">
        <x:f>A163+1000</x:f>
        <x:v>2209</x:v>
      </x:c>
      <x:c r="B167" s="1" t="str">
        <x:f>B163</x:f>
        <x:v>(단일) 바람 타워</x:v>
      </x:c>
      <x:c r="C167" s="1">
        <x:v>1</x:v>
      </x:c>
      <x:c r="D167" s="1">
        <x:f>ROUND(D163*1.7,2)</x:f>
        <x:v>0.68000000000000005</x:v>
      </x:c>
      <x:c r="E167" s="1">
        <x:f>ROUND(E163,2)</x:f>
        <x:v>2.5</x:v>
      </x:c>
      <x:c r="F167" s="1">
        <x:f>ROUND(F163*2.2,2)</x:f>
        <x:v>1.9099999999999999</x:v>
      </x:c>
      <x:c r="G167" s="1">
        <x:f>IF(G163*1.2&lt;=1,G163*1.2,1)</x:f>
        <x:v>0.1212</x:v>
      </x:c>
      <x:c r="H167" s="1">
        <x:f>ROUND(H163*1.2,2)</x:f>
        <x:v>0.78000000000000003</x:v>
      </x:c>
      <x:c r="I167" s="1">
        <x:f t="shared" ref="I167:I181" si="51">I163</x:f>
        <x:v>0</x:v>
      </x:c>
      <x:c r="J167" s="1">
        <x:v>0</x:v>
      </x:c>
      <x:c r="K167" s="1">
        <x:v>15</x:v>
      </x:c>
      <x:c r="L167" s="1">
        <x:v>0</x:v>
      </x:c>
      <x:c r="O167" s="3">
        <x:f t="shared" si="49"/>
        <x:v>77.930000000000007</x:v>
      </x:c>
      <x:c r="P167" s="3">
        <x:f t="shared" si="50"/>
        <x:v>94.739999999999995</x:v>
      </x:c>
      <x:c r="R167" s="3">
        <x:f t="shared" si="48"/>
        <x:v>127.56999999999999</x:v>
      </x:c>
      <x:c r="S167" s="3">
        <x:f t="shared" si="48"/>
        <x:v>139.41</x:v>
      </x:c>
      <x:c r="U167" s="5">
        <x:f>O167-$R$7</x:f>
        <x:v>-49.639999999999986</x:v>
      </x:c>
      <x:c r="V167" s="5">
        <x:f>P167-$S$7</x:f>
        <x:v>-44.670000000000002</x:v>
      </x:c>
    </x:row>
    <x:row r="168" spans="1:22">
      <x:c r="A168" s="1">
        <x:f t="shared" ref="A168:A181" si="52">A164+1000</x:f>
        <x:v>2309</x:v>
      </x:c>
      <x:c r="B168" s="1" t="str">
        <x:f>B164</x:f>
        <x:v>(함정) 바람 타워</x:v>
      </x:c>
      <x:c r="C168" s="1">
        <x:v>1</x:v>
      </x:c>
      <x:c r="D168" s="1">
        <x:f>ROUND(D164*2,2)</x:f>
        <x:v>4</x:v>
      </x:c>
      <x:c r="E168" s="1">
        <x:f>ROUND(E164,2)</x:f>
        <x:v>2.5</x:v>
      </x:c>
      <x:c r="F168" s="1">
        <x:f>ROUND(F164*2.1,2)</x:f>
        <x:v>0.20999999999999999</x:v>
      </x:c>
      <x:c r="G168" s="1">
        <x:v>0</x:v>
      </x:c>
      <x:c r="H168" s="1">
        <x:v>0</x:v>
      </x:c>
      <x:c r="I168" s="1">
        <x:f t="shared" si="51"/>
        <x:v>30</x:v>
      </x:c>
      <x:c r="J168" s="1">
        <x:v>0</x:v>
      </x:c>
      <x:c r="K168" s="1">
        <x:v>1</x:v>
      </x:c>
      <x:c r="L168" s="1">
        <x:f>L164</x:f>
        <x:v>2</x:v>
      </x:c>
      <x:c r="O168" s="3">
        <x:f t="shared" si="49"/>
        <x:v>50.399999999999999</x:v>
      </x:c>
      <x:c r="P168" s="3">
        <x:f t="shared" si="50"/>
        <x:v>50.399999999999999</x:v>
      </x:c>
      <x:c r="R168" s="3">
        <x:f t="shared" si="48"/>
        <x:v>38.280000000000001</x:v>
      </x:c>
      <x:c r="S168" s="3">
        <x:f t="shared" si="48"/>
        <x:v>38.280000000000001</x:v>
      </x:c>
      <x:c r="U168" s="6">
        <x:f>O168-$R$8</x:f>
        <x:v>12.119999999999997</x:v>
      </x:c>
      <x:c r="V168" s="6">
        <x:f>P168-$S$8</x:f>
        <x:v>12.119999999999997</x:v>
      </x:c>
    </x:row>
    <x:row r="169" spans="1:22">
      <x:c r="A169" s="1">
        <x:f t="shared" si="52"/>
        <x:v>2409</x:v>
      </x:c>
      <x:c r="B169" s="1" t="str">
        <x:f>B165</x:f>
        <x:v>(버프) 바람 타워</x:v>
      </x:c>
      <x:c r="C169" s="1">
        <x:v>1</x:v>
      </x:c>
      <x:c r="D169" s="1">
        <x:v>0</x:v>
      </x:c>
      <x:c r="E169" s="1">
        <x:f>E165+0</x:f>
        <x:v>1</x:v>
      </x:c>
      <x:c r="F169" s="1">
        <x:v>1</x:v>
      </x:c>
      <x:c r="G169" s="1">
        <x:v>0</x:v>
      </x:c>
      <x:c r="H169" s="1">
        <x:v>0</x:v>
      </x:c>
      <x:c r="I169" s="1">
        <x:f t="shared" si="51"/>
        <x:v>1</x:v>
      </x:c>
      <x:c r="J169" s="1" t="e">
        <x:f>IF(#REF!="Buff",1.4,25)</x:f>
        <x:v>#REF!</x:v>
      </x:c>
      <x:c r="K169" s="1">
        <x:v>1</x:v>
      </x:c>
      <x:c r="L169" s="1">
        <x:v>0</x:v>
      </x:c>
      <x:c r="O169" s="3">
        <x:f t="shared" si="49"/>
        <x:v>0</x:v>
      </x:c>
      <x:c r="P169" s="3">
        <x:f t="shared" si="50"/>
        <x:v>0</x:v>
      </x:c>
      <x:c r="R169" s="3">
        <x:f t="shared" si="48"/>
        <x:v>15</x:v>
      </x:c>
      <x:c r="S169" s="3">
        <x:f t="shared" si="48"/>
        <x:v>15</x:v>
      </x:c>
      <x:c r="U169" s="7">
        <x:f>O169-$R$9</x:f>
        <x:v>-15</x:v>
      </x:c>
      <x:c r="V169" s="7">
        <x:f>P169-$S$9</x:f>
        <x:v>-15</x:v>
      </x:c>
    </x:row>
    <x:row r="170" spans="1:22">
      <x:c r="A170" s="1">
        <x:f t="shared" si="52"/>
        <x:v>3109</x:v>
      </x:c>
      <x:c r="B170" s="1" t="str">
        <x:f>B162</x:f>
        <x:v>(광역) 바람 타워</x:v>
      </x:c>
      <x:c r="C170" s="1">
        <x:v>1</x:v>
      </x:c>
      <x:c r="D170" s="1">
        <x:f>ROUND(D166*2.25,2)</x:f>
        <x:v>8.9100000000000001</x:v>
      </x:c>
      <x:c r="E170" s="1">
        <x:f>ROUND(E166,2)</x:f>
        <x:v>2.5</x:v>
      </x:c>
      <x:c r="F170" s="1">
        <x:f>ROUND(F166*2.2,2)</x:f>
        <x:v>0.83999999999999997</x:v>
      </x:c>
      <x:c r="G170" s="1">
        <x:f>IF(G166*1.4&lt;=1,G166*1.4,1)</x:f>
        <x:v>0.23519999999999999</x:v>
      </x:c>
      <x:c r="H170" s="1">
        <x:f>ROUND(H166*1.5,2)</x:f>
        <x:v>0.020000000000000001</x:v>
      </x:c>
      <x:c r="I170" s="1">
        <x:f>ROUND(I162*2,2)</x:f>
        <x:v>1</x:v>
      </x:c>
      <x:c r="J170" s="1">
        <x:v>60</x:v>
      </x:c>
      <x:c r="K170" s="1">
        <x:v>10</x:v>
      </x:c>
      <x:c r="L170" s="1">
        <x:f>L162*1.5</x:f>
        <x:v>4.5</x:v>
      </x:c>
      <x:c r="O170" s="3">
        <x:f t="shared" si="49"/>
        <x:v>449.06</x:v>
      </x:c>
      <x:c r="P170" s="3">
        <x:f t="shared" si="50"/>
        <x:v>556.78999999999996</x:v>
      </x:c>
      <x:c r="R170" s="3">
        <x:f t="shared" si="48"/>
        <x:v>479.72000000000003</x:v>
      </x:c>
      <x:c r="S170" s="3">
        <x:f t="shared" si="48"/>
        <x:v>530</x:v>
      </x:c>
      <x:c r="U170" s="4">
        <x:f>O170-$R$10</x:f>
        <x:v>-30.660000000000025</x:v>
      </x:c>
      <x:c r="V170" s="4">
        <x:f>P170-$S$10</x:f>
        <x:v>26.789999999999964</x:v>
      </x:c>
    </x:row>
    <x:row r="171" spans="1:22">
      <x:c r="A171" s="1">
        <x:f t="shared" si="52"/>
        <x:v>3209</x:v>
      </x:c>
      <x:c r="B171" s="1" t="str">
        <x:f>B163</x:f>
        <x:v>(단일) 바람 타워</x:v>
      </x:c>
      <x:c r="C171" s="1">
        <x:v>1</x:v>
      </x:c>
      <x:c r="D171" s="1">
        <x:f>ROUND(D167*2,2)</x:f>
        <x:v>1.3600000000000001</x:v>
      </x:c>
      <x:c r="E171" s="1">
        <x:f>ROUND(E167,2)</x:f>
        <x:v>2.5</x:v>
      </x:c>
      <x:c r="F171" s="1">
        <x:f>ROUND(F167*2.4,2)</x:f>
        <x:v>4.5800000000000001</x:v>
      </x:c>
      <x:c r="G171" s="1">
        <x:f>IF(G167*1.4&lt;=1,G167*1.4,1)</x:f>
        <x:v>0.16968</x:v>
      </x:c>
      <x:c r="H171" s="1">
        <x:f>ROUND(H167*1.5,2)</x:f>
        <x:v>1.1699999999999999</x:v>
      </x:c>
      <x:c r="I171" s="1">
        <x:f t="shared" si="51"/>
        <x:v>0</x:v>
      </x:c>
      <x:c r="J171" s="1">
        <x:v>0</x:v>
      </x:c>
      <x:c r="K171" s="1">
        <x:v>15</x:v>
      </x:c>
      <x:c r="L171" s="1">
        <x:v>0</x:v>
      </x:c>
      <x:c r="O171" s="3">
        <x:f t="shared" si="49"/>
        <x:v>373.73000000000002</x:v>
      </x:c>
      <x:c r="P171" s="3">
        <x:f t="shared" si="50"/>
        <x:v>511.33999999999997</x:v>
      </x:c>
      <x:c r="R171" s="3">
        <x:f t="shared" si="48"/>
        <x:v>612.57000000000005</x:v>
      </x:c>
      <x:c r="S171" s="3">
        <x:f t="shared" si="48"/>
        <x:v>699.50999999999999</x:v>
      </x:c>
      <x:c r="U171" s="5">
        <x:f>O171-$R$11</x:f>
        <x:v>-238.84000000000003</x:v>
      </x:c>
      <x:c r="V171" s="5">
        <x:f>P171-$S$11</x:f>
        <x:v>-188.17000000000002</x:v>
      </x:c>
    </x:row>
    <x:row r="172" spans="1:22">
      <x:c r="A172" s="1">
        <x:f t="shared" si="52"/>
        <x:v>3309</x:v>
      </x:c>
      <x:c r="B172" s="1" t="str">
        <x:f>B164</x:f>
        <x:v>(함정) 바람 타워</x:v>
      </x:c>
      <x:c r="C172" s="1">
        <x:v>1</x:v>
      </x:c>
      <x:c r="D172" s="1">
        <x:f>ROUND(D168*2.5,2)</x:f>
        <x:v>10</x:v>
      </x:c>
      <x:c r="E172" s="1">
        <x:f>ROUND(E168,2)</x:f>
        <x:v>2.5</x:v>
      </x:c>
      <x:c r="F172" s="1">
        <x:f>ROUND(F168*2.2,2)</x:f>
        <x:v>0.46000000000000002</x:v>
      </x:c>
      <x:c r="G172" s="1">
        <x:v>0</x:v>
      </x:c>
      <x:c r="H172" s="1">
        <x:v>0</x:v>
      </x:c>
      <x:c r="I172" s="1">
        <x:f t="shared" si="51"/>
        <x:v>30</x:v>
      </x:c>
      <x:c r="J172" s="1">
        <x:v>0</x:v>
      </x:c>
      <x:c r="K172" s="1">
        <x:v>1</x:v>
      </x:c>
      <x:c r="L172" s="1">
        <x:f>L164*1.5</x:f>
        <x:v>3</x:v>
      </x:c>
      <x:c r="O172" s="3">
        <x:f t="shared" si="49"/>
        <x:v>276</x:v>
      </x:c>
      <x:c r="P172" s="3">
        <x:f t="shared" si="50"/>
        <x:v>276</x:v>
      </x:c>
      <x:c r="R172" s="3">
        <x:f t="shared" si="48"/>
        <x:v>208.80000000000001</x:v>
      </x:c>
      <x:c r="S172" s="3">
        <x:f t="shared" si="48"/>
        <x:v>208.80000000000001</x:v>
      </x:c>
      <x:c r="U172" s="6">
        <x:f>O172-$R$12</x:f>
        <x:v>67.199999999999989</x:v>
      </x:c>
      <x:c r="V172" s="6">
        <x:f>P172-$S$12</x:f>
        <x:v>67.199999999999989</x:v>
      </x:c>
    </x:row>
    <x:row r="173" spans="1:22">
      <x:c r="A173" s="1">
        <x:f t="shared" si="52"/>
        <x:v>3409</x:v>
      </x:c>
      <x:c r="B173" s="1" t="str">
        <x:f>B165</x:f>
        <x:v>(버프) 바람 타워</x:v>
      </x:c>
      <x:c r="C173" s="1">
        <x:v>1</x:v>
      </x:c>
      <x:c r="D173" s="1">
        <x:v>0</x:v>
      </x:c>
      <x:c r="E173" s="1">
        <x:f>E169+1</x:f>
        <x:v>2</x:v>
      </x:c>
      <x:c r="F173" s="1">
        <x:v>1</x:v>
      </x:c>
      <x:c r="G173" s="1">
        <x:v>0</x:v>
      </x:c>
      <x:c r="H173" s="1">
        <x:v>0</x:v>
      </x:c>
      <x:c r="I173" s="1">
        <x:f t="shared" si="51"/>
        <x:v>1</x:v>
      </x:c>
      <x:c r="J173" s="1" t="e">
        <x:f>IF(#REF!="Buff",2,60)</x:f>
        <x:v>#REF!</x:v>
      </x:c>
      <x:c r="K173" s="1">
        <x:v>1</x:v>
      </x:c>
      <x:c r="L173" s="1">
        <x:v>0</x:v>
      </x:c>
      <x:c r="O173" s="3">
        <x:f t="shared" si="49"/>
        <x:v>0</x:v>
      </x:c>
      <x:c r="P173" s="3">
        <x:f t="shared" si="50"/>
        <x:v>0</x:v>
      </x:c>
      <x:c r="R173" s="3">
        <x:f t="shared" si="48"/>
        <x:v>22.5</x:v>
      </x:c>
      <x:c r="S173" s="3">
        <x:f t="shared" si="48"/>
        <x:v>22.5</x:v>
      </x:c>
      <x:c r="U173" s="7">
        <x:f>O173-$R$13</x:f>
        <x:v>-22.5</x:v>
      </x:c>
      <x:c r="V173" s="7">
        <x:f>P173-$S$13</x:f>
        <x:v>-22.5</x:v>
      </x:c>
    </x:row>
    <x:row r="174" spans="1:22">
      <x:c r="A174" s="1">
        <x:f t="shared" si="52"/>
        <x:v>4109</x:v>
      </x:c>
      <x:c r="B174" s="1" t="str">
        <x:f>B162</x:f>
        <x:v>(광역) 바람 타워</x:v>
      </x:c>
      <x:c r="C174" s="1">
        <x:v>1</x:v>
      </x:c>
      <x:c r="D174" s="1">
        <x:f>ROUND(D170*3,2)</x:f>
        <x:v>26.73</x:v>
      </x:c>
      <x:c r="E174" s="1">
        <x:f>ROUND(E170*1.1,2)</x:f>
        <x:v>2.75</x:v>
      </x:c>
      <x:c r="F174" s="1">
        <x:f>ROUND(F170*2.5,2)</x:f>
        <x:v>2.1000000000000001</x:v>
      </x:c>
      <x:c r="G174" s="1">
        <x:f>IF(G170*1.6&lt;=1,G170*1.6,1)</x:f>
        <x:v>0.37631999999999999</x:v>
      </x:c>
      <x:c r="H174" s="1">
        <x:f>ROUND(H170*2,2)</x:f>
        <x:v>0.040000000000000002</x:v>
      </x:c>
      <x:c r="I174" s="1">
        <x:f>ROUND(I162*3,2)</x:f>
        <x:v>1.5</x:v>
      </x:c>
      <x:c r="J174" s="1">
        <x:v>150</x:v>
      </x:c>
      <x:c r="K174" s="1">
        <x:v>10</x:v>
      </x:c>
      <x:c r="L174" s="1">
        <x:f>L162*2</x:f>
        <x:v>6</x:v>
      </x:c>
      <x:c r="O174" s="3">
        <x:f t="shared" si="49"/>
        <x:v>3367.98</x:v>
      </x:c>
      <x:c r="P174" s="3">
        <x:f t="shared" si="50"/>
        <x:v>4686.1199999999999</x:v>
      </x:c>
      <x:c r="R174" s="3">
        <x:f t="shared" si="48"/>
        <x:v>3601.5900000000001</x:v>
      </x:c>
      <x:c r="S174" s="3">
        <x:f t="shared" si="48"/>
        <x:v>4306.1000000000004</x:v>
      </x:c>
      <x:c r="U174" s="4">
        <x:f>O174-$R$14</x:f>
        <x:v>-233.61000000000013</x:v>
      </x:c>
      <x:c r="V174" s="4">
        <x:f>P174-$S$14</x:f>
        <x:v>380.01999999999953</x:v>
      </x:c>
    </x:row>
    <x:row r="175" spans="1:22">
      <x:c r="A175" s="1">
        <x:f t="shared" si="52"/>
        <x:v>4209</x:v>
      </x:c>
      <x:c r="B175" s="1" t="str">
        <x:f>B163</x:f>
        <x:v>(단일) 바람 타워</x:v>
      </x:c>
      <x:c r="C175" s="1">
        <x:v>1</x:v>
      </x:c>
      <x:c r="D175" s="1">
        <x:f>ROUND(D171*3,2)</x:f>
        <x:v>4.0800000000000001</x:v>
      </x:c>
      <x:c r="E175" s="1">
        <x:f>ROUND(E171*1.1,2)</x:f>
        <x:v>2.75</x:v>
      </x:c>
      <x:c r="F175" s="1">
        <x:f>ROUND(F171*2.75,2)</x:f>
        <x:v>12.6</x:v>
      </x:c>
      <x:c r="G175" s="1">
        <x:f>IF(G171*1.6&lt;=1,G171*1.6,1)</x:f>
        <x:v>0.27148800000000001</x:v>
      </x:c>
      <x:c r="H175" s="1">
        <x:f>ROUND(H171*2,2)</x:f>
        <x:v>2.3399999999999999</x:v>
      </x:c>
      <x:c r="I175" s="1">
        <x:f t="shared" si="51"/>
        <x:v>0</x:v>
      </x:c>
      <x:c r="J175" s="1">
        <x:v>0</x:v>
      </x:c>
      <x:c r="K175" s="1">
        <x:v>15</x:v>
      </x:c>
      <x:c r="L175" s="1">
        <x:v>0</x:v>
      </x:c>
      <x:c r="O175" s="3">
        <x:f t="shared" si="49"/>
        <x:v>3084.48</x:v>
      </x:c>
      <x:c r="P175" s="3">
        <x:f t="shared" si="50"/>
        <x:v>5881.3900000000003</x:v>
      </x:c>
      <x:c r="R175" s="3">
        <x:f t="shared" si="48"/>
        <x:v>5055.3500000000004</x:v>
      </x:c>
      <x:c r="S175" s="3">
        <x:f t="shared" si="48"/>
        <x:v>6489.9499999999998</x:v>
      </x:c>
      <x:c r="U175" s="5">
        <x:f>O175-$R$15</x:f>
        <x:v>-1970.8700000000003</x:v>
      </x:c>
      <x:c r="V175" s="5">
        <x:f>P175-$S$15</x:f>
        <x:v>-608.55999999999949</x:v>
      </x:c>
    </x:row>
    <x:row r="176" spans="1:22">
      <x:c r="A176" s="1">
        <x:f t="shared" si="52"/>
        <x:v>4309</x:v>
      </x:c>
      <x:c r="B176" s="1" t="str">
        <x:f>B164</x:f>
        <x:v>(함정) 바람 타워</x:v>
      </x:c>
      <x:c r="C176" s="1">
        <x:v>1</x:v>
      </x:c>
      <x:c r="D176" s="1">
        <x:f>ROUND(D172*3,2)</x:f>
        <x:v>30</x:v>
      </x:c>
      <x:c r="E176" s="1">
        <x:f>ROUND(E172*1.1,2)</x:f>
        <x:v>2.75</x:v>
      </x:c>
      <x:c r="F176" s="1">
        <x:f>ROUND(F172*2.5,2)</x:f>
        <x:v>1.1499999999999999</x:v>
      </x:c>
      <x:c r="G176" s="1">
        <x:v>0</x:v>
      </x:c>
      <x:c r="H176" s="1">
        <x:v>0</x:v>
      </x:c>
      <x:c r="I176" s="1">
        <x:f t="shared" si="51"/>
        <x:v>30</x:v>
      </x:c>
      <x:c r="J176" s="1">
        <x:v>0</x:v>
      </x:c>
      <x:c r="K176" s="1">
        <x:v>1</x:v>
      </x:c>
      <x:c r="L176" s="1">
        <x:f>L164*2</x:f>
        <x:v>4</x:v>
      </x:c>
      <x:c r="O176" s="3">
        <x:f t="shared" si="49"/>
        <x:v>2070</x:v>
      </x:c>
      <x:c r="P176" s="3">
        <x:f t="shared" si="50"/>
        <x:v>2070</x:v>
      </x:c>
      <x:c r="R176" s="3">
        <x:f t="shared" si="48"/>
        <x:v>1570.5</x:v>
      </x:c>
      <x:c r="S176" s="3">
        <x:f t="shared" si="48"/>
        <x:v>1570.5</x:v>
      </x:c>
      <x:c r="U176" s="6">
        <x:f>O176-$R$16</x:f>
        <x:v>499.5</x:v>
      </x:c>
      <x:c r="V176" s="6">
        <x:f>P176-$S$16</x:f>
        <x:v>499.5</x:v>
      </x:c>
    </x:row>
    <x:row r="177" spans="1:22">
      <x:c r="A177" s="1">
        <x:f t="shared" si="52"/>
        <x:v>4409</x:v>
      </x:c>
      <x:c r="B177" s="1" t="str">
        <x:f>B165</x:f>
        <x:v>(버프) 바람 타워</x:v>
      </x:c>
      <x:c r="C177" s="1">
        <x:v>1</x:v>
      </x:c>
      <x:c r="D177" s="1">
        <x:v>0</x:v>
      </x:c>
      <x:c r="E177" s="1">
        <x:f>E173+2</x:f>
        <x:v>4</x:v>
      </x:c>
      <x:c r="F177" s="1">
        <x:v>1</x:v>
      </x:c>
      <x:c r="G177" s="1">
        <x:v>0</x:v>
      </x:c>
      <x:c r="H177" s="1">
        <x:v>0</x:v>
      </x:c>
      <x:c r="I177" s="1">
        <x:f t="shared" si="51"/>
        <x:v>1</x:v>
      </x:c>
      <x:c r="J177" s="1" t="e">
        <x:f>IF(#REF!="Buff",3,150)</x:f>
        <x:v>#REF!</x:v>
      </x:c>
      <x:c r="K177" s="1">
        <x:v>1</x:v>
      </x:c>
      <x:c r="L177" s="1">
        <x:v>0</x:v>
      </x:c>
      <x:c r="O177" s="3">
        <x:f t="shared" si="49"/>
        <x:v>0</x:v>
      </x:c>
      <x:c r="P177" s="3">
        <x:f t="shared" si="50"/>
        <x:v>0</x:v>
      </x:c>
      <x:c r="R177" s="3">
        <x:f t="shared" si="48"/>
        <x:v>37.5</x:v>
      </x:c>
      <x:c r="S177" s="3">
        <x:f t="shared" si="48"/>
        <x:v>37.5</x:v>
      </x:c>
      <x:c r="U177" s="7">
        <x:f>O177-$R$17</x:f>
        <x:v>-37.5</x:v>
      </x:c>
      <x:c r="V177" s="7">
        <x:f>P177-$S$17</x:f>
        <x:v>-37.5</x:v>
      </x:c>
    </x:row>
    <x:row r="178" spans="1:22">
      <x:c r="A178" s="1">
        <x:f t="shared" si="52"/>
        <x:v>5109</x:v>
      </x:c>
      <x:c r="B178" s="1" t="str">
        <x:f>B162</x:f>
        <x:v>(광역) 바람 타워</x:v>
      </x:c>
      <x:c r="C178" s="1">
        <x:v>1</x:v>
      </x:c>
      <x:c r="D178" s="1">
        <x:f>ROUND(D174*4.2,2)</x:f>
        <x:v>112.27</x:v>
      </x:c>
      <x:c r="E178" s="1">
        <x:f>ROUND(E174*1.25,2)</x:f>
        <x:v>3.4399999999999999</x:v>
      </x:c>
      <x:c r="F178" s="1">
        <x:f>ROUND(F174*3,2)</x:f>
        <x:v>6.2999999999999998</x:v>
      </x:c>
      <x:c r="G178" s="1">
        <x:f>IF(G174*1.8&lt;=1,G174*1.8,1)</x:f>
        <x:v>0.67737599999999998</x:v>
      </x:c>
      <x:c r="H178" s="1">
        <x:f>ROUND(H174*2.8,2)</x:f>
        <x:v>0.11</x:v>
      </x:c>
      <x:c r="I178" s="1">
        <x:f>ROUND(I162*5,2)</x:f>
        <x:v>2.5</x:v>
      </x:c>
      <x:c r="J178" s="1">
        <x:v>525</x:v>
      </x:c>
      <x:c r="K178" s="1">
        <x:v>10</x:v>
      </x:c>
      <x:c r="L178" s="1">
        <x:f>L162*3</x:f>
        <x:v>9</x:v>
      </x:c>
      <x:c r="O178" s="3">
        <x:f t="shared" si="49"/>
        <x:v>42438.059999999998</x:v>
      </x:c>
      <x:c r="P178" s="3">
        <x:f t="shared" si="50"/>
        <x:v>74346.699999999997</x:v>
      </x:c>
      <x:c r="R178" s="3">
        <x:f t="shared" si="48"/>
        <x:v>45381.339999999997</x:v>
      </x:c>
      <x:c r="S178" s="3">
        <x:f t="shared" si="48"/>
        <x:v>69583.229999999996</x:v>
      </x:c>
      <x:c r="U178" s="4">
        <x:f>O178-$R$18</x:f>
        <x:v>-2943.2799999999988</x:v>
      </x:c>
      <x:c r="V178" s="4">
        <x:f>P178-$S$18</x:f>
        <x:v>4763.4700000000012</x:v>
      </x:c>
    </x:row>
    <x:row r="179" spans="1:22">
      <x:c r="A179" s="1">
        <x:f t="shared" si="52"/>
        <x:v>5209</x:v>
      </x:c>
      <x:c r="B179" s="1" t="str">
        <x:f>B163</x:f>
        <x:v>(단일) 바람 타워</x:v>
      </x:c>
      <x:c r="C179" s="1">
        <x:v>1</x:v>
      </x:c>
      <x:c r="D179" s="1">
        <x:f>ROUND(D175*5,2)</x:f>
        <x:v>20.399999999999999</x:v>
      </x:c>
      <x:c r="E179" s="1">
        <x:f t="shared" ref="E179:E180" si="53">ROUND(E175*1.25,2)</x:f>
        <x:v>3.4399999999999999</x:v>
      </x:c>
      <x:c r="F179" s="1">
        <x:f>ROUND(F175*4,2)</x:f>
        <x:v>50.399999999999999</x:v>
      </x:c>
      <x:c r="G179" s="1">
        <x:f>IF(G175*1.8&lt;=1,G175*1.8,1)</x:f>
        <x:v>0.48867840000000001</x:v>
      </x:c>
      <x:c r="H179" s="1">
        <x:f>ROUND(H175*2.8,2)</x:f>
        <x:v>6.5499999999999998</x:v>
      </x:c>
      <x:c r="I179" s="1">
        <x:f t="shared" si="51"/>
        <x:v>0</x:v>
      </x:c>
      <x:c r="J179" s="1">
        <x:v>0</x:v>
      </x:c>
      <x:c r="K179" s="1">
        <x:v>15</x:v>
      </x:c>
      <x:c r="L179" s="1">
        <x:v>0</x:v>
      </x:c>
      <x:c r="O179" s="3">
        <x:f t="shared" si="49"/>
        <x:v>61689.599999999999</x:v>
      </x:c>
      <x:c r="P179" s="3">
        <x:f t="shared" si="50"/>
        <x:v>289294.72999999998</x:v>
      </x:c>
      <x:c r="R179" s="3">
        <x:f t="shared" si="48"/>
        <x:v>101106.89999999999</x:v>
      </x:c>
      <x:c r="S179" s="3">
        <x:f t="shared" si="48"/>
        <x:v>189869.89999999999</x:v>
      </x:c>
      <x:c r="U179" s="5">
        <x:f>O179-$R$19</x:f>
        <x:v>-39417.299999999996</x:v>
      </x:c>
      <x:c r="V179" s="5">
        <x:f>P179-$S$19</x:f>
        <x:v>99424.829999999987</x:v>
      </x:c>
    </x:row>
    <x:row r="180" spans="1:22">
      <x:c r="A180" s="1">
        <x:f t="shared" si="52"/>
        <x:v>5309</x:v>
      </x:c>
      <x:c r="B180" s="1" t="str">
        <x:f>B164</x:f>
        <x:v>(함정) 바람 타워</x:v>
      </x:c>
      <x:c r="C180" s="1">
        <x:v>1</x:v>
      </x:c>
      <x:c r="D180" s="1">
        <x:f>ROUND(D176*5,2)</x:f>
        <x:v>150</x:v>
      </x:c>
      <x:c r="E180" s="1">
        <x:f t="shared" si="53"/>
        <x:v>3.4399999999999999</x:v>
      </x:c>
      <x:c r="F180" s="1">
        <x:f>ROUND(F176*3,2)</x:f>
        <x:v>3.4500000000000002</x:v>
      </x:c>
      <x:c r="G180" s="1">
        <x:v>0</x:v>
      </x:c>
      <x:c r="H180" s="1">
        <x:v>0</x:v>
      </x:c>
      <x:c r="I180" s="1">
        <x:f t="shared" si="51"/>
        <x:v>30</x:v>
      </x:c>
      <x:c r="J180" s="1">
        <x:v>0</x:v>
      </x:c>
      <x:c r="K180" s="1">
        <x:v>1</x:v>
      </x:c>
      <x:c r="L180" s="1">
        <x:f>L164*3</x:f>
        <x:v>6</x:v>
      </x:c>
      <x:c r="O180" s="3">
        <x:f t="shared" si="49"/>
        <x:v>31050</x:v>
      </x:c>
      <x:c r="P180" s="3">
        <x:f t="shared" si="50"/>
        <x:v>31050</x:v>
      </x:c>
      <x:c r="R180" s="3">
        <x:f t="shared" si="48"/>
        <x:v>23557.5</x:v>
      </x:c>
      <x:c r="S180" s="3">
        <x:f t="shared" si="48"/>
        <x:v>23557.5</x:v>
      </x:c>
      <x:c r="U180" s="6">
        <x:f>O180-$R$20</x:f>
        <x:v>7492.5</x:v>
      </x:c>
      <x:c r="V180" s="6">
        <x:f>P180-$S$20</x:f>
        <x:v>7492.5</x:v>
      </x:c>
    </x:row>
    <x:row r="181" spans="1:22">
      <x:c r="A181" s="1">
        <x:f t="shared" si="52"/>
        <x:v>5409</x:v>
      </x:c>
      <x:c r="B181" s="1" t="str">
        <x:f>B165</x:f>
        <x:v>(버프) 바람 타워</x:v>
      </x:c>
      <x:c r="C181" s="1">
        <x:v>1</x:v>
      </x:c>
      <x:c r="D181" s="1">
        <x:v>0</x:v>
      </x:c>
      <x:c r="E181" s="1">
        <x:f>E177+3</x:f>
        <x:v>7</x:v>
      </x:c>
      <x:c r="F181" s="1">
        <x:v>1</x:v>
      </x:c>
      <x:c r="G181" s="1">
        <x:v>0</x:v>
      </x:c>
      <x:c r="H181" s="1">
        <x:v>0</x:v>
      </x:c>
      <x:c r="I181" s="1">
        <x:f t="shared" si="51"/>
        <x:v>1</x:v>
      </x:c>
      <x:c r="J181" s="1" t="e">
        <x:f>IF(#REF!="Buff",5,525)</x:f>
        <x:v>#REF!</x:v>
      </x:c>
      <x:c r="K181" s="1">
        <x:v>1</x:v>
      </x:c>
      <x:c r="L181" s="1">
        <x:v>0</x:v>
      </x:c>
      <x:c r="O181" s="3">
        <x:f t="shared" si="49"/>
        <x:v>0</x:v>
      </x:c>
      <x:c r="P181" s="3">
        <x:f t="shared" si="50"/>
        <x:v>0</x:v>
      </x:c>
      <x:c r="R181" s="3">
        <x:f t="shared" si="48"/>
        <x:v>75</x:v>
      </x:c>
      <x:c r="S181" s="3">
        <x:f t="shared" si="48"/>
        <x:v>75</x:v>
      </x:c>
      <x:c r="U181" s="7">
        <x:f>O181-$R$21</x:f>
        <x:v>-75</x:v>
      </x:c>
      <x:c r="V181" s="7">
        <x:f>P181-$S$21</x:f>
        <x:v>-75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6</cp:revision>
  <dcterms:created xsi:type="dcterms:W3CDTF">2026-06-29T07:38:58.000</dcterms:created>
  <dcterms:modified xsi:type="dcterms:W3CDTF">2026-07-26T15:09:02.304</dcterms:modified>
  <cp:version>1200.0100.01</cp:version>
</cp:coreProperties>
</file>