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yGitHub\ProjectA\Project-A-SquareTowerDefense\Assets\Resources\"/>
    </mc:Choice>
  </mc:AlternateContent>
  <xr:revisionPtr revIDLastSave="0" documentId="8_{AAF32DE5-6B04-4DBA-90AC-4234CCDB9B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8" i="1" l="1"/>
  <c r="Z28" i="1"/>
  <c r="P28" i="1"/>
  <c r="G28" i="1"/>
  <c r="F28" i="1"/>
  <c r="E28" i="1"/>
  <c r="D28" i="1"/>
  <c r="C28" i="1"/>
  <c r="B28" i="1"/>
  <c r="AO31" i="1"/>
  <c r="AO38" i="1" s="1"/>
  <c r="AN31" i="1"/>
  <c r="AN35" i="1" s="1"/>
  <c r="AM31" i="1"/>
  <c r="AL31" i="1"/>
  <c r="AK31" i="1"/>
  <c r="AJ31" i="1"/>
  <c r="AI31" i="1"/>
  <c r="AH31" i="1"/>
  <c r="AG31" i="1"/>
  <c r="AF31" i="1"/>
  <c r="AE31" i="1"/>
  <c r="AE35" i="1" s="1"/>
  <c r="AD31" i="1"/>
  <c r="AD35" i="1" s="1"/>
  <c r="AC31" i="1"/>
  <c r="AC38" i="1" s="1"/>
  <c r="AB31" i="1"/>
  <c r="AB35" i="1" s="1"/>
  <c r="AA31" i="1"/>
  <c r="AA35" i="1" s="1"/>
  <c r="Z31" i="1"/>
  <c r="Z35" i="1" s="1"/>
  <c r="Y31" i="1"/>
  <c r="Y38" i="1" s="1"/>
  <c r="X31" i="1"/>
  <c r="X38" i="1" s="1"/>
  <c r="W31" i="1"/>
  <c r="V31" i="1"/>
  <c r="U31" i="1"/>
  <c r="T31" i="1"/>
  <c r="S31" i="1"/>
  <c r="R31" i="1"/>
  <c r="Q31" i="1"/>
  <c r="P31" i="1"/>
  <c r="P35" i="1" s="1"/>
  <c r="O31" i="1"/>
  <c r="N31" i="1"/>
  <c r="N35" i="1" s="1"/>
  <c r="M31" i="1"/>
  <c r="M38" i="1" s="1"/>
  <c r="L31" i="1"/>
  <c r="L35" i="1" s="1"/>
  <c r="K31" i="1"/>
  <c r="K35" i="1" s="1"/>
  <c r="J31" i="1"/>
  <c r="J35" i="1" s="1"/>
  <c r="I31" i="1"/>
  <c r="I38" i="1" s="1"/>
  <c r="H31" i="1"/>
  <c r="H35" i="1" s="1"/>
  <c r="G31" i="1"/>
  <c r="F31" i="1"/>
  <c r="E31" i="1"/>
  <c r="D31" i="1"/>
  <c r="C31" i="1"/>
  <c r="B31" i="1"/>
  <c r="AO30" i="1"/>
  <c r="AO34" i="1" s="1"/>
  <c r="AN30" i="1"/>
  <c r="AN34" i="1" s="1"/>
  <c r="AM30" i="1"/>
  <c r="AL30" i="1"/>
  <c r="AK30" i="1"/>
  <c r="AJ30" i="1"/>
  <c r="AI30" i="1"/>
  <c r="AH30" i="1"/>
  <c r="AG30" i="1"/>
  <c r="AF30" i="1"/>
  <c r="AE30" i="1"/>
  <c r="AD30" i="1"/>
  <c r="AD34" i="1" s="1"/>
  <c r="AC30" i="1"/>
  <c r="AC34" i="1" s="1"/>
  <c r="AB30" i="1"/>
  <c r="AB34" i="1" s="1"/>
  <c r="AA30" i="1"/>
  <c r="AA37" i="1" s="1"/>
  <c r="Z30" i="1"/>
  <c r="Z34" i="1" s="1"/>
  <c r="Y30" i="1"/>
  <c r="Y34" i="1" s="1"/>
  <c r="X30" i="1"/>
  <c r="X34" i="1" s="1"/>
  <c r="W30" i="1"/>
  <c r="V30" i="1"/>
  <c r="U30" i="1"/>
  <c r="T30" i="1"/>
  <c r="S30" i="1"/>
  <c r="R30" i="1"/>
  <c r="Q30" i="1"/>
  <c r="P30" i="1"/>
  <c r="O30" i="1"/>
  <c r="N30" i="1"/>
  <c r="N34" i="1" s="1"/>
  <c r="M30" i="1"/>
  <c r="M34" i="1" s="1"/>
  <c r="L30" i="1"/>
  <c r="L34" i="1" s="1"/>
  <c r="K30" i="1"/>
  <c r="K37" i="1" s="1"/>
  <c r="J30" i="1"/>
  <c r="J34" i="1" s="1"/>
  <c r="I30" i="1"/>
  <c r="I34" i="1" s="1"/>
  <c r="H30" i="1"/>
  <c r="H34" i="1" s="1"/>
  <c r="G30" i="1"/>
  <c r="F30" i="1"/>
  <c r="E30" i="1"/>
  <c r="D30" i="1"/>
  <c r="C30" i="1"/>
  <c r="B30" i="1"/>
  <c r="AO29" i="1"/>
  <c r="AO32" i="1" s="1"/>
  <c r="AN29" i="1"/>
  <c r="AN32" i="1" s="1"/>
  <c r="AE29" i="1"/>
  <c r="AE33" i="1" s="1"/>
  <c r="AD29" i="1"/>
  <c r="AD33" i="1" s="1"/>
  <c r="AD36" i="1" s="1"/>
  <c r="AC29" i="1"/>
  <c r="AC32" i="1" s="1"/>
  <c r="AB29" i="1"/>
  <c r="AB32" i="1" s="1"/>
  <c r="AA29" i="1"/>
  <c r="AA33" i="1" s="1"/>
  <c r="Z29" i="1"/>
  <c r="Z33" i="1" s="1"/>
  <c r="Y29" i="1"/>
  <c r="Y32" i="1" s="1"/>
  <c r="X29" i="1"/>
  <c r="X33" i="1" s="1"/>
  <c r="U29" i="1"/>
  <c r="U33" i="1" s="1"/>
  <c r="N29" i="1"/>
  <c r="N33" i="1" s="1"/>
  <c r="N36" i="1" s="1"/>
  <c r="M29" i="1"/>
  <c r="M33" i="1" s="1"/>
  <c r="L29" i="1"/>
  <c r="L33" i="1" s="1"/>
  <c r="L36" i="1" s="1"/>
  <c r="K29" i="1"/>
  <c r="K33" i="1" s="1"/>
  <c r="J29" i="1"/>
  <c r="J33" i="1" s="1"/>
  <c r="I29" i="1"/>
  <c r="I32" i="1" s="1"/>
  <c r="H29" i="1"/>
  <c r="H32" i="1" s="1"/>
  <c r="AO28" i="1"/>
  <c r="AN28" i="1"/>
  <c r="AM28" i="1"/>
  <c r="AL28" i="1"/>
  <c r="AK28" i="1"/>
  <c r="AI28" i="1"/>
  <c r="AH28" i="1"/>
  <c r="AG28" i="1"/>
  <c r="AF28" i="1"/>
  <c r="AE28" i="1"/>
  <c r="AD28" i="1"/>
  <c r="AC28" i="1"/>
  <c r="AB28" i="1"/>
  <c r="AA28" i="1"/>
  <c r="Y28" i="1"/>
  <c r="X28" i="1"/>
  <c r="W28" i="1"/>
  <c r="V28" i="1"/>
  <c r="U28" i="1"/>
  <c r="T28" i="1"/>
  <c r="S28" i="1"/>
  <c r="R28" i="1"/>
  <c r="Q28" i="1"/>
  <c r="O28" i="1"/>
  <c r="N28" i="1"/>
  <c r="M28" i="1"/>
  <c r="L28" i="1"/>
  <c r="K28" i="1"/>
  <c r="J28" i="1"/>
  <c r="I28" i="1"/>
  <c r="H28" i="1"/>
  <c r="AO27" i="1"/>
  <c r="AO37" i="1" s="1"/>
  <c r="AN27" i="1"/>
  <c r="AN37" i="1" s="1"/>
  <c r="AD27" i="1"/>
  <c r="AD37" i="1" s="1"/>
  <c r="AC27" i="1"/>
  <c r="AC37" i="1" s="1"/>
  <c r="AC39" i="1" s="1"/>
  <c r="AB27" i="1"/>
  <c r="AB37" i="1" s="1"/>
  <c r="AA27" i="1"/>
  <c r="Z27" i="1"/>
  <c r="Z37" i="1" s="1"/>
  <c r="Y27" i="1"/>
  <c r="Y37" i="1" s="1"/>
  <c r="X27" i="1"/>
  <c r="X37" i="1" s="1"/>
  <c r="X39" i="1" s="1"/>
  <c r="N27" i="1"/>
  <c r="N37" i="1" s="1"/>
  <c r="M27" i="1"/>
  <c r="M37" i="1" s="1"/>
  <c r="L27" i="1"/>
  <c r="L37" i="1" s="1"/>
  <c r="K27" i="1"/>
  <c r="J27" i="1"/>
  <c r="J37" i="1" s="1"/>
  <c r="I27" i="1"/>
  <c r="I37" i="1" s="1"/>
  <c r="H27" i="1"/>
  <c r="H37" i="1" s="1"/>
  <c r="AO26" i="1"/>
  <c r="AN26" i="1"/>
  <c r="AM26" i="1"/>
  <c r="AM29" i="1" s="1"/>
  <c r="AL26" i="1"/>
  <c r="AL29" i="1" s="1"/>
  <c r="AK26" i="1"/>
  <c r="AK29" i="1" s="1"/>
  <c r="AJ26" i="1"/>
  <c r="AJ29" i="1" s="1"/>
  <c r="AI26" i="1"/>
  <c r="AI29" i="1" s="1"/>
  <c r="AH26" i="1"/>
  <c r="AH29" i="1" s="1"/>
  <c r="AG26" i="1"/>
  <c r="AG29" i="1" s="1"/>
  <c r="AF26" i="1"/>
  <c r="AF29" i="1" s="1"/>
  <c r="AE26" i="1"/>
  <c r="AE27" i="1" s="1"/>
  <c r="AD26" i="1"/>
  <c r="AC26" i="1"/>
  <c r="AB26" i="1"/>
  <c r="AA26" i="1"/>
  <c r="Z26" i="1"/>
  <c r="Y26" i="1"/>
  <c r="X26" i="1"/>
  <c r="W26" i="1"/>
  <c r="W29" i="1" s="1"/>
  <c r="V26" i="1"/>
  <c r="V29" i="1" s="1"/>
  <c r="U26" i="1"/>
  <c r="U27" i="1" s="1"/>
  <c r="U38" i="1" s="1"/>
  <c r="T26" i="1"/>
  <c r="T29" i="1" s="1"/>
  <c r="S26" i="1"/>
  <c r="S27" i="1" s="1"/>
  <c r="R26" i="1"/>
  <c r="R29" i="1" s="1"/>
  <c r="Q26" i="1"/>
  <c r="Q29" i="1" s="1"/>
  <c r="P26" i="1"/>
  <c r="P27" i="1" s="1"/>
  <c r="P38" i="1" s="1"/>
  <c r="O26" i="1"/>
  <c r="O29" i="1" s="1"/>
  <c r="N26" i="1"/>
  <c r="M26" i="1"/>
  <c r="L26" i="1"/>
  <c r="K26" i="1"/>
  <c r="J26" i="1"/>
  <c r="I26" i="1"/>
  <c r="H26" i="1"/>
  <c r="G26" i="1"/>
  <c r="G29" i="1" s="1"/>
  <c r="F26" i="1"/>
  <c r="F29" i="1" s="1"/>
  <c r="E26" i="1"/>
  <c r="E29" i="1" s="1"/>
  <c r="D26" i="1"/>
  <c r="D29" i="1" s="1"/>
  <c r="C26" i="1"/>
  <c r="C29" i="1" s="1"/>
  <c r="B26" i="1"/>
  <c r="B29" i="1" s="1"/>
  <c r="AI34" i="1" l="1"/>
  <c r="D37" i="1"/>
  <c r="D39" i="1" s="1"/>
  <c r="C32" i="1"/>
  <c r="C33" i="1"/>
  <c r="J36" i="1"/>
  <c r="K36" i="1"/>
  <c r="AL32" i="1"/>
  <c r="AL33" i="1"/>
  <c r="W32" i="1"/>
  <c r="W33" i="1"/>
  <c r="M36" i="1"/>
  <c r="E34" i="1"/>
  <c r="U34" i="1"/>
  <c r="AK34" i="1"/>
  <c r="AJ32" i="1"/>
  <c r="AJ33" i="1"/>
  <c r="S34" i="1"/>
  <c r="G32" i="1"/>
  <c r="G33" i="1"/>
  <c r="AM32" i="1"/>
  <c r="AM33" i="1"/>
  <c r="AN39" i="1"/>
  <c r="E32" i="1"/>
  <c r="E33" i="1"/>
  <c r="U36" i="1"/>
  <c r="I39" i="1"/>
  <c r="AI32" i="1"/>
  <c r="AI33" i="1"/>
  <c r="AK32" i="1"/>
  <c r="AK33" i="1"/>
  <c r="V32" i="1"/>
  <c r="V33" i="1"/>
  <c r="Z36" i="1"/>
  <c r="B35" i="1"/>
  <c r="AH35" i="1"/>
  <c r="AA36" i="1"/>
  <c r="K39" i="1"/>
  <c r="C38" i="1"/>
  <c r="S38" i="1"/>
  <c r="O35" i="1"/>
  <c r="AF35" i="1"/>
  <c r="R35" i="1"/>
  <c r="C34" i="1"/>
  <c r="AO39" i="1"/>
  <c r="W34" i="1"/>
  <c r="J39" i="1"/>
  <c r="L39" i="1"/>
  <c r="O33" i="1"/>
  <c r="O32" i="1"/>
  <c r="M39" i="1"/>
  <c r="U35" i="1"/>
  <c r="Q37" i="1"/>
  <c r="Q39" i="1" s="1"/>
  <c r="D32" i="1"/>
  <c r="D33" i="1"/>
  <c r="B34" i="1"/>
  <c r="F33" i="1"/>
  <c r="F32" i="1"/>
  <c r="H39" i="1"/>
  <c r="AF33" i="1"/>
  <c r="AF32" i="1"/>
  <c r="Q33" i="1"/>
  <c r="Q32" i="1"/>
  <c r="AG33" i="1"/>
  <c r="AG32" i="1"/>
  <c r="AE36" i="1"/>
  <c r="O37" i="1"/>
  <c r="O39" i="1" s="1"/>
  <c r="AE37" i="1"/>
  <c r="AE39" i="1" s="1"/>
  <c r="W38" i="1"/>
  <c r="T32" i="1"/>
  <c r="T33" i="1"/>
  <c r="R34" i="1"/>
  <c r="N39" i="1"/>
  <c r="F35" i="1"/>
  <c r="B33" i="1"/>
  <c r="B32" i="1"/>
  <c r="R32" i="1"/>
  <c r="R33" i="1"/>
  <c r="AH32" i="1"/>
  <c r="AH33" i="1"/>
  <c r="Y39" i="1"/>
  <c r="P37" i="1"/>
  <c r="P39" i="1" s="1"/>
  <c r="AF37" i="1"/>
  <c r="AF39" i="1" s="1"/>
  <c r="X35" i="1"/>
  <c r="X36" i="1" s="1"/>
  <c r="Y35" i="1"/>
  <c r="AC33" i="1"/>
  <c r="AC36" i="1" s="1"/>
  <c r="P29" i="1"/>
  <c r="X32" i="1"/>
  <c r="H38" i="1"/>
  <c r="AN38" i="1"/>
  <c r="B27" i="1"/>
  <c r="B38" i="1" s="1"/>
  <c r="R27" i="1"/>
  <c r="R38" i="1" s="1"/>
  <c r="AH27" i="1"/>
  <c r="AH38" i="1" s="1"/>
  <c r="J32" i="1"/>
  <c r="Z32" i="1"/>
  <c r="B37" i="1"/>
  <c r="B39" i="1" s="1"/>
  <c r="R37" i="1"/>
  <c r="R39" i="1" s="1"/>
  <c r="J38" i="1"/>
  <c r="Z38" i="1"/>
  <c r="Z39" i="1" s="1"/>
  <c r="H33" i="1"/>
  <c r="H36" i="1" s="1"/>
  <c r="B9" i="1"/>
  <c r="AB33" i="1"/>
  <c r="AB36" i="1" s="1"/>
  <c r="M35" i="1"/>
  <c r="AI27" i="1"/>
  <c r="AI38" i="1" s="1"/>
  <c r="K32" i="1"/>
  <c r="K34" i="1"/>
  <c r="S35" i="1"/>
  <c r="K38" i="1"/>
  <c r="D27" i="1"/>
  <c r="D38" i="1" s="1"/>
  <c r="T27" i="1"/>
  <c r="T38" i="1" s="1"/>
  <c r="AJ27" i="1"/>
  <c r="AJ38" i="1" s="1"/>
  <c r="L32" i="1"/>
  <c r="L38" i="1"/>
  <c r="AB38" i="1"/>
  <c r="AB39" i="1" s="1"/>
  <c r="P34" i="1"/>
  <c r="AO35" i="1"/>
  <c r="U32" i="1"/>
  <c r="AC35" i="1"/>
  <c r="AF27" i="1"/>
  <c r="AF38" i="1" s="1"/>
  <c r="C27" i="1"/>
  <c r="S29" i="1"/>
  <c r="AA32" i="1"/>
  <c r="C35" i="1"/>
  <c r="AI35" i="1"/>
  <c r="C37" i="1"/>
  <c r="C39" i="1" s="1"/>
  <c r="S37" i="1"/>
  <c r="S39" i="1" s="1"/>
  <c r="AA38" i="1"/>
  <c r="AA39" i="1" s="1"/>
  <c r="E27" i="1"/>
  <c r="E38" i="1" s="1"/>
  <c r="AK27" i="1"/>
  <c r="AK38" i="1" s="1"/>
  <c r="M32" i="1"/>
  <c r="E37" i="1"/>
  <c r="E39" i="1" s="1"/>
  <c r="U37" i="1"/>
  <c r="U39" i="1" s="1"/>
  <c r="AK37" i="1"/>
  <c r="AO33" i="1"/>
  <c r="AA34" i="1"/>
  <c r="F27" i="1"/>
  <c r="F38" i="1" s="1"/>
  <c r="V27" i="1"/>
  <c r="V38" i="1" s="1"/>
  <c r="AL27" i="1"/>
  <c r="AL38" i="1" s="1"/>
  <c r="N32" i="1"/>
  <c r="AD32" i="1"/>
  <c r="F37" i="1"/>
  <c r="F39" i="1" s="1"/>
  <c r="N38" i="1"/>
  <c r="AD38" i="1"/>
  <c r="AD39" i="1" s="1"/>
  <c r="AG34" i="1"/>
  <c r="G27" i="1"/>
  <c r="G35" i="1" s="1"/>
  <c r="W27" i="1"/>
  <c r="AM27" i="1"/>
  <c r="AM34" i="1" s="1"/>
  <c r="AE32" i="1"/>
  <c r="AE34" i="1"/>
  <c r="W35" i="1"/>
  <c r="AM35" i="1"/>
  <c r="W37" i="1"/>
  <c r="W39" i="1" s="1"/>
  <c r="O38" i="1"/>
  <c r="AE38" i="1"/>
  <c r="I35" i="1"/>
  <c r="AF34" i="1"/>
  <c r="Q34" i="1"/>
  <c r="I33" i="1"/>
  <c r="B8" i="1"/>
  <c r="Y33" i="1"/>
  <c r="O27" i="1"/>
  <c r="O34" i="1" s="1"/>
  <c r="AN33" i="1"/>
  <c r="AN36" i="1" s="1"/>
  <c r="Q27" i="1"/>
  <c r="Q38" i="1" s="1"/>
  <c r="AG27" i="1"/>
  <c r="AG38" i="1" s="1"/>
  <c r="D34" i="1" l="1"/>
  <c r="T36" i="1"/>
  <c r="P32" i="1"/>
  <c r="P33" i="1"/>
  <c r="P36" i="1" s="1"/>
  <c r="AF36" i="1"/>
  <c r="AL34" i="1"/>
  <c r="AL37" i="1"/>
  <c r="AL39" i="1" s="1"/>
  <c r="AJ37" i="1"/>
  <c r="AJ39" i="1" s="1"/>
  <c r="AM37" i="1"/>
  <c r="V37" i="1"/>
  <c r="V39" i="1" s="1"/>
  <c r="AI37" i="1"/>
  <c r="AI39" i="1" s="1"/>
  <c r="T37" i="1"/>
  <c r="T39" i="1" s="1"/>
  <c r="AH37" i="1"/>
  <c r="AH39" i="1" s="1"/>
  <c r="AM38" i="1"/>
  <c r="AJ35" i="1"/>
  <c r="V34" i="1"/>
  <c r="V36" i="1" s="1"/>
  <c r="W36" i="1"/>
  <c r="T35" i="1"/>
  <c r="F34" i="1"/>
  <c r="F36" i="1" s="1"/>
  <c r="G37" i="1"/>
  <c r="G38" i="1"/>
  <c r="D35" i="1"/>
  <c r="D36" i="1" s="1"/>
  <c r="AL36" i="1"/>
  <c r="AM36" i="1"/>
  <c r="G34" i="1"/>
  <c r="G36" i="1" s="1"/>
  <c r="AI36" i="1"/>
  <c r="AG37" i="1"/>
  <c r="AG39" i="1" s="1"/>
  <c r="R36" i="1"/>
  <c r="S32" i="1"/>
  <c r="S33" i="1"/>
  <c r="S36" i="1" s="1"/>
  <c r="E35" i="1"/>
  <c r="E36" i="1" s="1"/>
  <c r="C36" i="1"/>
  <c r="AK35" i="1"/>
  <c r="AK36" i="1" s="1"/>
  <c r="Y36" i="1"/>
  <c r="AO36" i="1"/>
  <c r="B36" i="1"/>
  <c r="AG35" i="1"/>
  <c r="AG36" i="1" s="1"/>
  <c r="AH34" i="1"/>
  <c r="AH36" i="1" s="1"/>
  <c r="AK39" i="1"/>
  <c r="B7" i="1"/>
  <c r="Q35" i="1"/>
  <c r="Q36" i="1" s="1"/>
  <c r="AJ34" i="1"/>
  <c r="AJ36" i="1" s="1"/>
  <c r="I36" i="1"/>
  <c r="AL35" i="1"/>
  <c r="V35" i="1"/>
  <c r="O36" i="1"/>
  <c r="T34" i="1"/>
  <c r="AO40" i="1" l="1"/>
  <c r="Y40" i="1"/>
  <c r="I40" i="1"/>
  <c r="H40" i="1"/>
  <c r="B12" i="1"/>
  <c r="AM40" i="1"/>
  <c r="W40" i="1"/>
  <c r="G40" i="1"/>
  <c r="AL40" i="1"/>
  <c r="V40" i="1"/>
  <c r="F40" i="1"/>
  <c r="E40" i="1"/>
  <c r="AH40" i="1"/>
  <c r="AF40" i="1"/>
  <c r="U40" i="1"/>
  <c r="AJ40" i="1"/>
  <c r="T40" i="1"/>
  <c r="D40" i="1"/>
  <c r="AI40" i="1"/>
  <c r="S40" i="1"/>
  <c r="C40" i="1"/>
  <c r="B10" i="1"/>
  <c r="B14" i="1" s="1"/>
  <c r="R40" i="1"/>
  <c r="AE40" i="1"/>
  <c r="O40" i="1"/>
  <c r="AD40" i="1"/>
  <c r="N40" i="1"/>
  <c r="AA40" i="1"/>
  <c r="AG40" i="1"/>
  <c r="P40" i="1"/>
  <c r="AC40" i="1"/>
  <c r="M40" i="1"/>
  <c r="Q40" i="1"/>
  <c r="AB40" i="1"/>
  <c r="L40" i="1"/>
  <c r="K40" i="1"/>
  <c r="AK40" i="1"/>
  <c r="B40" i="1"/>
  <c r="Z40" i="1"/>
  <c r="J40" i="1"/>
  <c r="AN40" i="1"/>
  <c r="X40" i="1"/>
  <c r="AM39" i="1"/>
  <c r="G39" i="1"/>
  <c r="U41" i="1" l="1"/>
  <c r="U42" i="1"/>
  <c r="AF41" i="1"/>
  <c r="AF42" i="1" s="1"/>
  <c r="AC41" i="1"/>
  <c r="AC42" i="1" s="1"/>
  <c r="E41" i="1"/>
  <c r="E42" i="1" s="1"/>
  <c r="AJ41" i="1"/>
  <c r="AJ42" i="1" s="1"/>
  <c r="AA41" i="1"/>
  <c r="AA42" i="1" s="1"/>
  <c r="V41" i="1"/>
  <c r="V42" i="1" s="1"/>
  <c r="Q41" i="1"/>
  <c r="Q42" i="1"/>
  <c r="M41" i="1"/>
  <c r="M42" i="1"/>
  <c r="N41" i="1"/>
  <c r="N42" i="1"/>
  <c r="AL41" i="1"/>
  <c r="AL42" i="1" s="1"/>
  <c r="Z41" i="1"/>
  <c r="Z42" i="1"/>
  <c r="W41" i="1"/>
  <c r="W42" i="1" s="1"/>
  <c r="T42" i="1"/>
  <c r="T41" i="1"/>
  <c r="AG41" i="1"/>
  <c r="AG42" i="1"/>
  <c r="B11" i="1"/>
  <c r="B13" i="1"/>
  <c r="X41" i="1"/>
  <c r="X42" i="1" s="1"/>
  <c r="AD41" i="1"/>
  <c r="AD42" i="1"/>
  <c r="O41" i="1"/>
  <c r="O42" i="1"/>
  <c r="AE41" i="1"/>
  <c r="AE42" i="1"/>
  <c r="R41" i="1"/>
  <c r="R42" i="1" s="1"/>
  <c r="B42" i="1"/>
  <c r="B41" i="1"/>
  <c r="AM41" i="1"/>
  <c r="AM42" i="1" s="1"/>
  <c r="D17" i="1"/>
  <c r="C21" i="1"/>
  <c r="D21" i="1" s="1"/>
  <c r="D20" i="1"/>
  <c r="D18" i="1"/>
  <c r="C20" i="1"/>
  <c r="D19" i="1"/>
  <c r="C17" i="1"/>
  <c r="C19" i="1"/>
  <c r="C18" i="1"/>
  <c r="AK41" i="1"/>
  <c r="AK42" i="1"/>
  <c r="C42" i="1"/>
  <c r="C41" i="1"/>
  <c r="AH41" i="1"/>
  <c r="AH42" i="1" s="1"/>
  <c r="F41" i="1"/>
  <c r="F42" i="1" s="1"/>
  <c r="AN41" i="1"/>
  <c r="AN42" i="1" s="1"/>
  <c r="J41" i="1"/>
  <c r="J42" i="1"/>
  <c r="G41" i="1"/>
  <c r="G42" i="1" s="1"/>
  <c r="K41" i="1"/>
  <c r="K42" i="1"/>
  <c r="S41" i="1"/>
  <c r="S42" i="1" s="1"/>
  <c r="H41" i="1"/>
  <c r="H42" i="1" s="1"/>
  <c r="L41" i="1"/>
  <c r="L42" i="1"/>
  <c r="AI41" i="1"/>
  <c r="AI42" i="1" s="1"/>
  <c r="I41" i="1"/>
  <c r="I42" i="1" s="1"/>
  <c r="AO41" i="1"/>
  <c r="AO42" i="1" s="1"/>
  <c r="P41" i="1"/>
  <c r="P42" i="1"/>
  <c r="AB41" i="1"/>
  <c r="AB42" i="1"/>
  <c r="D41" i="1"/>
  <c r="D42" i="1" s="1"/>
  <c r="Y42" i="1"/>
  <c r="Y41" i="1"/>
</calcChain>
</file>

<file path=xl/sharedStrings.xml><?xml version="1.0" encoding="utf-8"?>
<sst xmlns="http://schemas.openxmlformats.org/spreadsheetml/2006/main" count="51" uniqueCount="51">
  <si>
    <t>웨이브별 몬스터·골드·젬 및 티어 제작 계산표</t>
  </si>
  <si>
    <t>웨이브당 전투 턴</t>
  </si>
  <si>
    <t>일반 몬스터 골드 / 웨이브 배율</t>
  </si>
  <si>
    <t>중간보스 골드 / 기준 웨이브 배율</t>
  </si>
  <si>
    <t>중간보스 젬 / 기준 웨이브 배율</t>
  </si>
  <si>
    <t>최종보스 골드 / 웨이브 배율</t>
  </si>
  <si>
    <t>최종보스 젬 / 웨이브 배율</t>
  </si>
  <si>
    <t>보스 보상 사이클 배율</t>
  </si>
  <si>
    <t>중간보스 보상 기준 웨이브</t>
  </si>
  <si>
    <t>타워 기본 소환 시작 비용</t>
  </si>
  <si>
    <t>소환당 비용 증가</t>
  </si>
  <si>
    <t>요약</t>
  </si>
  <si>
    <t>값</t>
  </si>
  <si>
    <t>1~39 일반 몬스터 수</t>
  </si>
  <si>
    <t>1~39 최종보스 수</t>
  </si>
  <si>
    <t>1~39 중간보스 수(보상 기준)</t>
  </si>
  <si>
    <t>1~39 골드 드롭 합계</t>
  </si>
  <si>
    <t>1~39 젬 드롭 합계</t>
  </si>
  <si>
    <t>1~40 골드 드롭 합계</t>
  </si>
  <si>
    <t>1~40 젬 드롭 합계</t>
  </si>
  <si>
    <t>1~39 최대 기본 타워 소환 수</t>
  </si>
  <si>
    <t>티어</t>
  </si>
  <si>
    <t>필요 기본 타워 수</t>
  </si>
  <si>
    <t>최대 제작 가능 수</t>
  </si>
  <si>
    <t>남는 기본 타워 수</t>
  </si>
  <si>
    <t>브론즈</t>
  </si>
  <si>
    <t>실버</t>
  </si>
  <si>
    <t>골드</t>
  </si>
  <si>
    <t>미스릴</t>
  </si>
  <si>
    <t>다이아</t>
  </si>
  <si>
    <t>합성 계산은 기본 타워 3개 → 다음 티어 1개 기준입니다. 1~39웨이브 골드 전부를 소환에 사용한다고 가정하며, 타워 강화·판매·기타 지출은 제외합니다.</t>
  </si>
  <si>
    <t>항목</t>
  </si>
  <si>
    <t>사이클</t>
  </si>
  <si>
    <t>사이클 배율</t>
  </si>
  <si>
    <t>웨이브 유형</t>
  </si>
  <si>
    <t>일반 몬스터 수</t>
  </si>
  <si>
    <t>최종보스 수</t>
  </si>
  <si>
    <t>중간보스 수(보상 기준)</t>
  </si>
  <si>
    <t>총 몬스터 수</t>
  </si>
  <si>
    <t>일반 몬스터 골드</t>
  </si>
  <si>
    <t>최종보스 골드</t>
  </si>
  <si>
    <t>중간보스 골드</t>
  </si>
  <si>
    <t>총 골드 드롭</t>
  </si>
  <si>
    <t>최종보스 젬</t>
  </si>
  <si>
    <t>중간보스 젬</t>
  </si>
  <si>
    <t>총 젬 드롭</t>
  </si>
  <si>
    <t>누적 골드 드롭</t>
  </si>
  <si>
    <t>웨이브 종료 시 최대 기본 타워 설치 수</t>
  </si>
  <si>
    <t>최대 설치 후 잔여 골드</t>
  </si>
  <si>
    <t>사이클 1
기본 소환수 / 턴</t>
    <phoneticPr fontId="1" type="noConversion"/>
  </si>
  <si>
    <t>사이클당
웨이브 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</si>
</sst>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17365D"/>
      <name val="맑은 고딕"/>
      <family val="3"/>
      <charset val="129"/>
    </font>
    <font>
      <i/>
      <sz val="10"/>
      <color rgb="FF666666"/>
      <name val="맑은 고딕"/>
      <family val="3"/>
      <charset val="129"/>
    </font>
    <font>
      <b/>
      <sz val="9"/>
      <color rgb="FF17365D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3" fontId="3" fillId="0" borderId="2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vertical="center" wrapText="1"/>
    </xf>
    <xf numFmtId="3" fontId="3" fillId="0" borderId="2" xfId="0" applyNumberFormat="1" applyFont="1" applyFill="1" applyBorder="1" applyAlignment="1">
      <alignment vertical="center"/>
    </xf>
    <xf numFmtId="0" fontId="2" fillId="4" borderId="3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 wrapText="1"/>
    </xf>
    <xf numFmtId="0" fontId="2" fillId="4" borderId="3" xfId="0" applyNumberFormat="1" applyFont="1" applyFill="1" applyBorder="1" applyAlignment="1">
      <alignment horizontal="center" vertical="center"/>
    </xf>
    <xf numFmtId="0" fontId="2" fillId="6" borderId="3" xfId="0" applyNumberFormat="1" applyFont="1" applyFill="1" applyBorder="1" applyAlignment="1">
      <alignment horizontal="center" vertical="center"/>
    </xf>
    <xf numFmtId="0" fontId="2" fillId="7" borderId="3" xfId="0" applyNumberFormat="1" applyFont="1" applyFill="1" applyBorder="1" applyAlignment="1">
      <alignment horizontal="center" vertical="center"/>
    </xf>
    <xf numFmtId="0" fontId="4" fillId="5" borderId="4" xfId="0" applyNumberFormat="1" applyFont="1" applyFill="1" applyBorder="1" applyAlignment="1">
      <alignment vertical="center" wrapText="1"/>
    </xf>
    <xf numFmtId="3" fontId="3" fillId="0" borderId="4" xfId="0" applyNumberFormat="1" applyFont="1" applyFill="1" applyBorder="1" applyAlignment="1">
      <alignment horizontal="right" vertical="center"/>
    </xf>
    <xf numFmtId="3" fontId="3" fillId="6" borderId="4" xfId="0" applyNumberFormat="1" applyFont="1" applyFill="1" applyBorder="1" applyAlignment="1">
      <alignment horizontal="right" vertical="center"/>
    </xf>
    <xf numFmtId="3" fontId="3" fillId="7" borderId="4" xfId="0" applyNumberFormat="1" applyFont="1" applyFill="1" applyBorder="1" applyAlignment="1">
      <alignment horizontal="right" vertical="center"/>
    </xf>
    <xf numFmtId="3" fontId="3" fillId="0" borderId="4" xfId="0" applyNumberFormat="1" applyFont="1" applyFill="1" applyBorder="1" applyAlignment="1">
      <alignment horizontal="center" vertical="center"/>
    </xf>
    <xf numFmtId="3" fontId="3" fillId="6" borderId="4" xfId="0" applyNumberFormat="1" applyFont="1" applyFill="1" applyBorder="1" applyAlignment="1">
      <alignment horizontal="center" vertical="center"/>
    </xf>
    <xf numFmtId="3" fontId="3" fillId="7" borderId="4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6" fillId="3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3"/>
  <sheetViews>
    <sheetView showGridLines="0" tabSelected="1" topLeftCell="A13" workbookViewId="0">
      <selection activeCell="I23" sqref="I23"/>
    </sheetView>
  </sheetViews>
  <sheetFormatPr defaultRowHeight="13.5" x14ac:dyDescent="0.3"/>
  <cols>
    <col min="1" max="1" width="24" style="3" customWidth="1"/>
    <col min="2" max="41" width="9" style="3" customWidth="1"/>
    <col min="42" max="16384" width="9" style="3"/>
  </cols>
  <sheetData>
    <row r="1" spans="1:41" ht="30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3" spans="1:41" ht="51.75" customHeight="1" x14ac:dyDescent="0.3">
      <c r="A3" s="22" t="s">
        <v>1</v>
      </c>
      <c r="B3" s="22" t="s">
        <v>49</v>
      </c>
      <c r="C3" s="22" t="s">
        <v>50</v>
      </c>
      <c r="D3" s="22" t="s">
        <v>2</v>
      </c>
      <c r="E3" s="22" t="s">
        <v>3</v>
      </c>
      <c r="F3" s="22" t="s">
        <v>4</v>
      </c>
      <c r="G3" s="22" t="s">
        <v>5</v>
      </c>
      <c r="H3" s="22" t="s">
        <v>6</v>
      </c>
      <c r="I3" s="22" t="s">
        <v>7</v>
      </c>
      <c r="J3" s="22" t="s">
        <v>8</v>
      </c>
      <c r="K3" s="22" t="s">
        <v>9</v>
      </c>
      <c r="L3" s="22" t="s">
        <v>10</v>
      </c>
    </row>
    <row r="4" spans="1:41" ht="36" customHeight="1" x14ac:dyDescent="0.3">
      <c r="A4" s="4">
        <v>5</v>
      </c>
      <c r="B4" s="4">
        <v>2</v>
      </c>
      <c r="C4" s="4">
        <v>10</v>
      </c>
      <c r="D4" s="4">
        <v>10</v>
      </c>
      <c r="E4" s="4">
        <v>50</v>
      </c>
      <c r="F4" s="4">
        <v>1</v>
      </c>
      <c r="G4" s="4">
        <v>100</v>
      </c>
      <c r="H4" s="4">
        <v>2</v>
      </c>
      <c r="I4" s="4">
        <v>1</v>
      </c>
      <c r="J4" s="4">
        <v>5</v>
      </c>
      <c r="K4" s="4">
        <v>50</v>
      </c>
      <c r="L4" s="4">
        <v>2</v>
      </c>
    </row>
    <row r="5" spans="1:41" ht="27.95" customHeight="1" x14ac:dyDescent="0.3"/>
    <row r="6" spans="1:41" ht="27.95" customHeight="1" x14ac:dyDescent="0.3">
      <c r="A6" s="5" t="s">
        <v>11</v>
      </c>
      <c r="B6" s="5" t="s">
        <v>12</v>
      </c>
    </row>
    <row r="7" spans="1:41" ht="24.95" customHeight="1" x14ac:dyDescent="0.3">
      <c r="A7" s="6" t="s">
        <v>13</v>
      </c>
      <c r="B7" s="7">
        <f>SUM(B29:AN29)</f>
        <v>900</v>
      </c>
    </row>
    <row r="8" spans="1:41" ht="24.95" customHeight="1" x14ac:dyDescent="0.3">
      <c r="A8" s="6" t="s">
        <v>14</v>
      </c>
      <c r="B8" s="7">
        <f>SUM(B30:AN30)</f>
        <v>3</v>
      </c>
    </row>
    <row r="9" spans="1:41" ht="24.95" customHeight="1" x14ac:dyDescent="0.3">
      <c r="A9" s="6" t="s">
        <v>15</v>
      </c>
      <c r="B9" s="7">
        <f>SUM(B31:AN31)</f>
        <v>4</v>
      </c>
    </row>
    <row r="10" spans="1:41" ht="24.95" customHeight="1" x14ac:dyDescent="0.3">
      <c r="A10" s="6" t="s">
        <v>16</v>
      </c>
      <c r="B10" s="7">
        <f>SUM(B36:AN36)</f>
        <v>251500</v>
      </c>
    </row>
    <row r="11" spans="1:41" ht="24.95" customHeight="1" x14ac:dyDescent="0.3">
      <c r="A11" s="6" t="s">
        <v>17</v>
      </c>
      <c r="B11" s="7">
        <f>SUM(B39:AN39)</f>
        <v>530</v>
      </c>
    </row>
    <row r="12" spans="1:41" ht="24.95" customHeight="1" x14ac:dyDescent="0.3">
      <c r="A12" s="6" t="s">
        <v>18</v>
      </c>
      <c r="B12" s="7">
        <f>SUM(B36:AO36)</f>
        <v>267500</v>
      </c>
    </row>
    <row r="13" spans="1:41" ht="24.95" customHeight="1" x14ac:dyDescent="0.3">
      <c r="A13" s="6" t="s">
        <v>19</v>
      </c>
      <c r="B13" s="7">
        <f>SUM(B39:AO39)</f>
        <v>850</v>
      </c>
    </row>
    <row r="14" spans="1:41" ht="24.95" customHeight="1" x14ac:dyDescent="0.3">
      <c r="A14" s="6" t="s">
        <v>20</v>
      </c>
      <c r="B14" s="7">
        <f>INT((-(2*$K$4-$L$4)+SQRT((2*$K$4-$L$4)^2+8*$L$4*$B$10))/(2*$L$4))</f>
        <v>477</v>
      </c>
    </row>
    <row r="16" spans="1:41" ht="27" x14ac:dyDescent="0.3">
      <c r="A16" s="8" t="s">
        <v>21</v>
      </c>
      <c r="B16" s="8" t="s">
        <v>22</v>
      </c>
      <c r="C16" s="8" t="s">
        <v>23</v>
      </c>
      <c r="D16" s="8" t="s">
        <v>24</v>
      </c>
    </row>
    <row r="17" spans="1:41" ht="38.1" customHeight="1" x14ac:dyDescent="0.3">
      <c r="A17" s="9" t="s">
        <v>25</v>
      </c>
      <c r="B17" s="7">
        <v>1</v>
      </c>
      <c r="C17" s="7">
        <f>INT($B$14/B17)</f>
        <v>477</v>
      </c>
      <c r="D17" s="7">
        <f>$B$14-C17*B17</f>
        <v>0</v>
      </c>
    </row>
    <row r="18" spans="1:41" x14ac:dyDescent="0.3">
      <c r="A18" s="9" t="s">
        <v>26</v>
      </c>
      <c r="B18" s="7">
        <v>3</v>
      </c>
      <c r="C18" s="7">
        <f>INT($B$14/B18)</f>
        <v>159</v>
      </c>
      <c r="D18" s="7">
        <f>$B$14-C18*B18</f>
        <v>0</v>
      </c>
    </row>
    <row r="19" spans="1:41" x14ac:dyDescent="0.3">
      <c r="A19" s="9" t="s">
        <v>27</v>
      </c>
      <c r="B19" s="7">
        <v>9</v>
      </c>
      <c r="C19" s="7">
        <f>INT($B$14/B19)</f>
        <v>53</v>
      </c>
      <c r="D19" s="7">
        <f>$B$14-C19*B19</f>
        <v>0</v>
      </c>
    </row>
    <row r="20" spans="1:41" x14ac:dyDescent="0.3">
      <c r="A20" s="9" t="s">
        <v>28</v>
      </c>
      <c r="B20" s="7">
        <v>27</v>
      </c>
      <c r="C20" s="7">
        <f>INT($B$14/B20)</f>
        <v>17</v>
      </c>
      <c r="D20" s="7">
        <f>$B$14-C20*B20</f>
        <v>18</v>
      </c>
    </row>
    <row r="21" spans="1:41" x14ac:dyDescent="0.3">
      <c r="A21" s="9" t="s">
        <v>29</v>
      </c>
      <c r="B21" s="7">
        <v>81</v>
      </c>
      <c r="C21" s="7">
        <f>INT($B$14/B21)</f>
        <v>5</v>
      </c>
      <c r="D21" s="7">
        <f>$B$14-C21*B21</f>
        <v>72</v>
      </c>
    </row>
    <row r="23" spans="1:41" ht="33.950000000000003" customHeight="1" x14ac:dyDescent="0.3">
      <c r="A23" s="10" t="s">
        <v>30</v>
      </c>
      <c r="B23" s="10"/>
      <c r="C23" s="10"/>
      <c r="D23" s="10"/>
      <c r="E23" s="10"/>
      <c r="F23" s="10"/>
      <c r="G23" s="10"/>
      <c r="H23" s="10"/>
    </row>
    <row r="25" spans="1:41" ht="26.1" customHeight="1" x14ac:dyDescent="0.3">
      <c r="A25" s="11" t="s">
        <v>31</v>
      </c>
      <c r="B25" s="11">
        <v>1</v>
      </c>
      <c r="C25" s="11">
        <v>2</v>
      </c>
      <c r="D25" s="11">
        <v>3</v>
      </c>
      <c r="E25" s="11">
        <v>4</v>
      </c>
      <c r="F25" s="12">
        <v>5</v>
      </c>
      <c r="G25" s="11">
        <v>6</v>
      </c>
      <c r="H25" s="11">
        <v>7</v>
      </c>
      <c r="I25" s="11">
        <v>8</v>
      </c>
      <c r="J25" s="11">
        <v>9</v>
      </c>
      <c r="K25" s="13">
        <v>10</v>
      </c>
      <c r="L25" s="11">
        <v>11</v>
      </c>
      <c r="M25" s="11">
        <v>12</v>
      </c>
      <c r="N25" s="11">
        <v>13</v>
      </c>
      <c r="O25" s="11">
        <v>14</v>
      </c>
      <c r="P25" s="12">
        <v>15</v>
      </c>
      <c r="Q25" s="11">
        <v>16</v>
      </c>
      <c r="R25" s="11">
        <v>17</v>
      </c>
      <c r="S25" s="11">
        <v>18</v>
      </c>
      <c r="T25" s="11">
        <v>19</v>
      </c>
      <c r="U25" s="13">
        <v>20</v>
      </c>
      <c r="V25" s="11">
        <v>21</v>
      </c>
      <c r="W25" s="11">
        <v>22</v>
      </c>
      <c r="X25" s="11">
        <v>23</v>
      </c>
      <c r="Y25" s="11">
        <v>24</v>
      </c>
      <c r="Z25" s="12">
        <v>25</v>
      </c>
      <c r="AA25" s="11">
        <v>26</v>
      </c>
      <c r="AB25" s="11">
        <v>27</v>
      </c>
      <c r="AC25" s="11">
        <v>28</v>
      </c>
      <c r="AD25" s="11">
        <v>29</v>
      </c>
      <c r="AE25" s="13">
        <v>30</v>
      </c>
      <c r="AF25" s="11">
        <v>31</v>
      </c>
      <c r="AG25" s="11">
        <v>32</v>
      </c>
      <c r="AH25" s="11">
        <v>33</v>
      </c>
      <c r="AI25" s="11">
        <v>34</v>
      </c>
      <c r="AJ25" s="12">
        <v>35</v>
      </c>
      <c r="AK25" s="11">
        <v>36</v>
      </c>
      <c r="AL25" s="11">
        <v>37</v>
      </c>
      <c r="AM25" s="11">
        <v>38</v>
      </c>
      <c r="AN25" s="11">
        <v>39</v>
      </c>
      <c r="AO25" s="13">
        <v>40</v>
      </c>
    </row>
    <row r="26" spans="1:41" x14ac:dyDescent="0.3">
      <c r="A26" s="14" t="s">
        <v>32</v>
      </c>
      <c r="B26" s="15">
        <f t="shared" ref="B26:AO26" si="0">INT((B$25-1)/$C$4)+1</f>
        <v>1</v>
      </c>
      <c r="C26" s="15">
        <f t="shared" si="0"/>
        <v>1</v>
      </c>
      <c r="D26" s="15">
        <f t="shared" si="0"/>
        <v>1</v>
      </c>
      <c r="E26" s="15">
        <f t="shared" si="0"/>
        <v>1</v>
      </c>
      <c r="F26" s="16">
        <f t="shared" si="0"/>
        <v>1</v>
      </c>
      <c r="G26" s="15">
        <f t="shared" si="0"/>
        <v>1</v>
      </c>
      <c r="H26" s="15">
        <f t="shared" si="0"/>
        <v>1</v>
      </c>
      <c r="I26" s="15">
        <f t="shared" si="0"/>
        <v>1</v>
      </c>
      <c r="J26" s="15">
        <f t="shared" si="0"/>
        <v>1</v>
      </c>
      <c r="K26" s="17">
        <f t="shared" si="0"/>
        <v>1</v>
      </c>
      <c r="L26" s="15">
        <f t="shared" si="0"/>
        <v>2</v>
      </c>
      <c r="M26" s="15">
        <f t="shared" si="0"/>
        <v>2</v>
      </c>
      <c r="N26" s="15">
        <f t="shared" si="0"/>
        <v>2</v>
      </c>
      <c r="O26" s="15">
        <f t="shared" si="0"/>
        <v>2</v>
      </c>
      <c r="P26" s="16">
        <f t="shared" si="0"/>
        <v>2</v>
      </c>
      <c r="Q26" s="15">
        <f t="shared" si="0"/>
        <v>2</v>
      </c>
      <c r="R26" s="15">
        <f t="shared" si="0"/>
        <v>2</v>
      </c>
      <c r="S26" s="15">
        <f t="shared" si="0"/>
        <v>2</v>
      </c>
      <c r="T26" s="15">
        <f t="shared" si="0"/>
        <v>2</v>
      </c>
      <c r="U26" s="17">
        <f t="shared" si="0"/>
        <v>2</v>
      </c>
      <c r="V26" s="15">
        <f t="shared" si="0"/>
        <v>3</v>
      </c>
      <c r="W26" s="15">
        <f t="shared" si="0"/>
        <v>3</v>
      </c>
      <c r="X26" s="15">
        <f t="shared" si="0"/>
        <v>3</v>
      </c>
      <c r="Y26" s="15">
        <f t="shared" si="0"/>
        <v>3</v>
      </c>
      <c r="Z26" s="16">
        <f t="shared" si="0"/>
        <v>3</v>
      </c>
      <c r="AA26" s="15">
        <f t="shared" si="0"/>
        <v>3</v>
      </c>
      <c r="AB26" s="15">
        <f t="shared" si="0"/>
        <v>3</v>
      </c>
      <c r="AC26" s="15">
        <f t="shared" si="0"/>
        <v>3</v>
      </c>
      <c r="AD26" s="15">
        <f t="shared" si="0"/>
        <v>3</v>
      </c>
      <c r="AE26" s="17">
        <f t="shared" si="0"/>
        <v>3</v>
      </c>
      <c r="AF26" s="15">
        <f t="shared" si="0"/>
        <v>4</v>
      </c>
      <c r="AG26" s="15">
        <f t="shared" si="0"/>
        <v>4</v>
      </c>
      <c r="AH26" s="15">
        <f t="shared" si="0"/>
        <v>4</v>
      </c>
      <c r="AI26" s="15">
        <f t="shared" si="0"/>
        <v>4</v>
      </c>
      <c r="AJ26" s="16">
        <f t="shared" si="0"/>
        <v>4</v>
      </c>
      <c r="AK26" s="15">
        <f t="shared" si="0"/>
        <v>4</v>
      </c>
      <c r="AL26" s="15">
        <f t="shared" si="0"/>
        <v>4</v>
      </c>
      <c r="AM26" s="15">
        <f t="shared" si="0"/>
        <v>4</v>
      </c>
      <c r="AN26" s="15">
        <f t="shared" si="0"/>
        <v>4</v>
      </c>
      <c r="AO26" s="17">
        <f t="shared" si="0"/>
        <v>4</v>
      </c>
    </row>
    <row r="27" spans="1:41" x14ac:dyDescent="0.3">
      <c r="A27" s="14" t="s">
        <v>33</v>
      </c>
      <c r="B27" s="15">
        <f t="shared" ref="B27:AO27" si="1">B26</f>
        <v>1</v>
      </c>
      <c r="C27" s="15">
        <f t="shared" si="1"/>
        <v>1</v>
      </c>
      <c r="D27" s="15">
        <f t="shared" si="1"/>
        <v>1</v>
      </c>
      <c r="E27" s="15">
        <f t="shared" si="1"/>
        <v>1</v>
      </c>
      <c r="F27" s="16">
        <f t="shared" si="1"/>
        <v>1</v>
      </c>
      <c r="G27" s="15">
        <f t="shared" si="1"/>
        <v>1</v>
      </c>
      <c r="H27" s="15">
        <f t="shared" si="1"/>
        <v>1</v>
      </c>
      <c r="I27" s="15">
        <f t="shared" si="1"/>
        <v>1</v>
      </c>
      <c r="J27" s="15">
        <f t="shared" si="1"/>
        <v>1</v>
      </c>
      <c r="K27" s="17">
        <f t="shared" si="1"/>
        <v>1</v>
      </c>
      <c r="L27" s="15">
        <f t="shared" si="1"/>
        <v>2</v>
      </c>
      <c r="M27" s="15">
        <f t="shared" si="1"/>
        <v>2</v>
      </c>
      <c r="N27" s="15">
        <f t="shared" si="1"/>
        <v>2</v>
      </c>
      <c r="O27" s="15">
        <f t="shared" si="1"/>
        <v>2</v>
      </c>
      <c r="P27" s="16">
        <f t="shared" si="1"/>
        <v>2</v>
      </c>
      <c r="Q27" s="15">
        <f t="shared" si="1"/>
        <v>2</v>
      </c>
      <c r="R27" s="15">
        <f t="shared" si="1"/>
        <v>2</v>
      </c>
      <c r="S27" s="15">
        <f t="shared" si="1"/>
        <v>2</v>
      </c>
      <c r="T27" s="15">
        <f t="shared" si="1"/>
        <v>2</v>
      </c>
      <c r="U27" s="17">
        <f t="shared" si="1"/>
        <v>2</v>
      </c>
      <c r="V27" s="15">
        <f t="shared" si="1"/>
        <v>3</v>
      </c>
      <c r="W27" s="15">
        <f t="shared" si="1"/>
        <v>3</v>
      </c>
      <c r="X27" s="15">
        <f t="shared" si="1"/>
        <v>3</v>
      </c>
      <c r="Y27" s="15">
        <f t="shared" si="1"/>
        <v>3</v>
      </c>
      <c r="Z27" s="16">
        <f t="shared" si="1"/>
        <v>3</v>
      </c>
      <c r="AA27" s="15">
        <f t="shared" si="1"/>
        <v>3</v>
      </c>
      <c r="AB27" s="15">
        <f t="shared" si="1"/>
        <v>3</v>
      </c>
      <c r="AC27" s="15">
        <f t="shared" si="1"/>
        <v>3</v>
      </c>
      <c r="AD27" s="15">
        <f t="shared" si="1"/>
        <v>3</v>
      </c>
      <c r="AE27" s="17">
        <f t="shared" si="1"/>
        <v>3</v>
      </c>
      <c r="AF27" s="15">
        <f t="shared" si="1"/>
        <v>4</v>
      </c>
      <c r="AG27" s="15">
        <f t="shared" si="1"/>
        <v>4</v>
      </c>
      <c r="AH27" s="15">
        <f t="shared" si="1"/>
        <v>4</v>
      </c>
      <c r="AI27" s="15">
        <f t="shared" si="1"/>
        <v>4</v>
      </c>
      <c r="AJ27" s="16">
        <f t="shared" si="1"/>
        <v>4</v>
      </c>
      <c r="AK27" s="15">
        <f t="shared" si="1"/>
        <v>4</v>
      </c>
      <c r="AL27" s="15">
        <f t="shared" si="1"/>
        <v>4</v>
      </c>
      <c r="AM27" s="15">
        <f t="shared" si="1"/>
        <v>4</v>
      </c>
      <c r="AN27" s="15">
        <f t="shared" si="1"/>
        <v>4</v>
      </c>
      <c r="AO27" s="17">
        <f t="shared" si="1"/>
        <v>4</v>
      </c>
    </row>
    <row r="28" spans="1:41" x14ac:dyDescent="0.3">
      <c r="A28" s="14" t="s">
        <v>34</v>
      </c>
      <c r="B28" s="18" t="str">
        <f>IF(MOD(B$25,$C$4)=0,"최종보스",IF(MOD(B$25-1,$C$4)=$J$4-1,"중간보스","일반"))</f>
        <v>일반</v>
      </c>
      <c r="C28" s="18" t="str">
        <f>IF(MOD(C$25,$C$4)=0,"최종보스",IF(MOD(C$25-1,$C$4)=$J$4-1,"중간보스","일반"))</f>
        <v>일반</v>
      </c>
      <c r="D28" s="18" t="str">
        <f>IF(MOD(D$25,$C$4)=0,"최종보스",IF(MOD(D$25-1,$C$4)=$J$4-1,"중간보스","일반"))</f>
        <v>일반</v>
      </c>
      <c r="E28" s="18" t="str">
        <f>IF(MOD(E$25,$C$4)=0,"최종보스",IF(MOD(E$25-1,$C$4)=$J$4-1,"중간보스","일반"))</f>
        <v>일반</v>
      </c>
      <c r="F28" s="19" t="str">
        <f>IF(MOD(F$25,$C$4)=0,"최종보스",IF(MOD(F$25-1,$C$4)=$J$4-1,"중간보스","일반"))</f>
        <v>중간보스</v>
      </c>
      <c r="G28" s="18" t="str">
        <f>IF(MOD(G$25,$C$4)=0,"최종보스",IF(MOD(G$25-1,$C$4)=$J$4-1,"중간보스","일반"))</f>
        <v>일반</v>
      </c>
      <c r="H28" s="18" t="str">
        <f t="shared" ref="B28:AO28" si="2">IF(MOD(H$25,$C$4)=0,"최종보스",IF(MOD(H$25-1,$C$4)=$J$4-1,"중간보스 기준","일반"))</f>
        <v>일반</v>
      </c>
      <c r="I28" s="18" t="str">
        <f t="shared" si="2"/>
        <v>일반</v>
      </c>
      <c r="J28" s="18" t="str">
        <f t="shared" si="2"/>
        <v>일반</v>
      </c>
      <c r="K28" s="20" t="str">
        <f t="shared" si="2"/>
        <v>최종보스</v>
      </c>
      <c r="L28" s="18" t="str">
        <f t="shared" si="2"/>
        <v>일반</v>
      </c>
      <c r="M28" s="18" t="str">
        <f t="shared" si="2"/>
        <v>일반</v>
      </c>
      <c r="N28" s="18" t="str">
        <f t="shared" si="2"/>
        <v>일반</v>
      </c>
      <c r="O28" s="18" t="str">
        <f t="shared" si="2"/>
        <v>일반</v>
      </c>
      <c r="P28" s="19" t="str">
        <f>IF(MOD(P$25,$C$4)=0,"최종보스",IF(MOD(P$25-1,$C$4)=$J$4-1,"중간보스","일반"))</f>
        <v>중간보스</v>
      </c>
      <c r="Q28" s="18" t="str">
        <f t="shared" si="2"/>
        <v>일반</v>
      </c>
      <c r="R28" s="18" t="str">
        <f t="shared" si="2"/>
        <v>일반</v>
      </c>
      <c r="S28" s="18" t="str">
        <f t="shared" si="2"/>
        <v>일반</v>
      </c>
      <c r="T28" s="18" t="str">
        <f t="shared" si="2"/>
        <v>일반</v>
      </c>
      <c r="U28" s="20" t="str">
        <f t="shared" si="2"/>
        <v>최종보스</v>
      </c>
      <c r="V28" s="18" t="str">
        <f t="shared" si="2"/>
        <v>일반</v>
      </c>
      <c r="W28" s="18" t="str">
        <f t="shared" si="2"/>
        <v>일반</v>
      </c>
      <c r="X28" s="18" t="str">
        <f t="shared" si="2"/>
        <v>일반</v>
      </c>
      <c r="Y28" s="18" t="str">
        <f t="shared" si="2"/>
        <v>일반</v>
      </c>
      <c r="Z28" s="19" t="str">
        <f>IF(MOD(Z$25,$C$4)=0,"최종보스",IF(MOD(Z$25-1,$C$4)=$J$4-1,"중간보스","일반"))</f>
        <v>중간보스</v>
      </c>
      <c r="AA28" s="18" t="str">
        <f t="shared" si="2"/>
        <v>일반</v>
      </c>
      <c r="AB28" s="18" t="str">
        <f t="shared" si="2"/>
        <v>일반</v>
      </c>
      <c r="AC28" s="18" t="str">
        <f t="shared" si="2"/>
        <v>일반</v>
      </c>
      <c r="AD28" s="18" t="str">
        <f t="shared" si="2"/>
        <v>일반</v>
      </c>
      <c r="AE28" s="20" t="str">
        <f t="shared" si="2"/>
        <v>최종보스</v>
      </c>
      <c r="AF28" s="18" t="str">
        <f t="shared" si="2"/>
        <v>일반</v>
      </c>
      <c r="AG28" s="18" t="str">
        <f t="shared" si="2"/>
        <v>일반</v>
      </c>
      <c r="AH28" s="18" t="str">
        <f t="shared" si="2"/>
        <v>일반</v>
      </c>
      <c r="AI28" s="18" t="str">
        <f t="shared" si="2"/>
        <v>일반</v>
      </c>
      <c r="AJ28" s="19" t="str">
        <f>IF(MOD(AJ$25,$C$4)=0,"최종보스",IF(MOD(AJ$25-1,$C$4)=$J$4-1,"중간보스","일반"))</f>
        <v>중간보스</v>
      </c>
      <c r="AK28" s="18" t="str">
        <f t="shared" si="2"/>
        <v>일반</v>
      </c>
      <c r="AL28" s="18" t="str">
        <f t="shared" si="2"/>
        <v>일반</v>
      </c>
      <c r="AM28" s="18" t="str">
        <f t="shared" si="2"/>
        <v>일반</v>
      </c>
      <c r="AN28" s="18" t="str">
        <f t="shared" si="2"/>
        <v>일반</v>
      </c>
      <c r="AO28" s="20" t="str">
        <f t="shared" si="2"/>
        <v>최종보스</v>
      </c>
    </row>
    <row r="29" spans="1:41" x14ac:dyDescent="0.3">
      <c r="A29" s="14" t="s">
        <v>35</v>
      </c>
      <c r="B29" s="15">
        <f t="shared" ref="B29:AO29" si="3">IF(MOD(B$25,$C$4)=0,0,$B$4*B26*$A$4)</f>
        <v>10</v>
      </c>
      <c r="C29" s="15">
        <f t="shared" si="3"/>
        <v>10</v>
      </c>
      <c r="D29" s="15">
        <f t="shared" si="3"/>
        <v>10</v>
      </c>
      <c r="E29" s="15">
        <f t="shared" si="3"/>
        <v>10</v>
      </c>
      <c r="F29" s="16">
        <f t="shared" si="3"/>
        <v>10</v>
      </c>
      <c r="G29" s="15">
        <f t="shared" si="3"/>
        <v>10</v>
      </c>
      <c r="H29" s="15">
        <f t="shared" si="3"/>
        <v>10</v>
      </c>
      <c r="I29" s="15">
        <f t="shared" si="3"/>
        <v>10</v>
      </c>
      <c r="J29" s="15">
        <f t="shared" si="3"/>
        <v>10</v>
      </c>
      <c r="K29" s="17">
        <f t="shared" si="3"/>
        <v>0</v>
      </c>
      <c r="L29" s="15">
        <f t="shared" si="3"/>
        <v>20</v>
      </c>
      <c r="M29" s="15">
        <f t="shared" si="3"/>
        <v>20</v>
      </c>
      <c r="N29" s="15">
        <f t="shared" si="3"/>
        <v>20</v>
      </c>
      <c r="O29" s="15">
        <f t="shared" si="3"/>
        <v>20</v>
      </c>
      <c r="P29" s="16">
        <f t="shared" si="3"/>
        <v>20</v>
      </c>
      <c r="Q29" s="15">
        <f t="shared" si="3"/>
        <v>20</v>
      </c>
      <c r="R29" s="15">
        <f t="shared" si="3"/>
        <v>20</v>
      </c>
      <c r="S29" s="15">
        <f t="shared" si="3"/>
        <v>20</v>
      </c>
      <c r="T29" s="15">
        <f t="shared" si="3"/>
        <v>20</v>
      </c>
      <c r="U29" s="17">
        <f t="shared" si="3"/>
        <v>0</v>
      </c>
      <c r="V29" s="15">
        <f t="shared" si="3"/>
        <v>30</v>
      </c>
      <c r="W29" s="15">
        <f t="shared" si="3"/>
        <v>30</v>
      </c>
      <c r="X29" s="15">
        <f t="shared" si="3"/>
        <v>30</v>
      </c>
      <c r="Y29" s="15">
        <f t="shared" si="3"/>
        <v>30</v>
      </c>
      <c r="Z29" s="16">
        <f t="shared" si="3"/>
        <v>30</v>
      </c>
      <c r="AA29" s="15">
        <f t="shared" si="3"/>
        <v>30</v>
      </c>
      <c r="AB29" s="15">
        <f t="shared" si="3"/>
        <v>30</v>
      </c>
      <c r="AC29" s="15">
        <f t="shared" si="3"/>
        <v>30</v>
      </c>
      <c r="AD29" s="15">
        <f t="shared" si="3"/>
        <v>30</v>
      </c>
      <c r="AE29" s="17">
        <f t="shared" si="3"/>
        <v>0</v>
      </c>
      <c r="AF29" s="15">
        <f t="shared" si="3"/>
        <v>40</v>
      </c>
      <c r="AG29" s="15">
        <f t="shared" si="3"/>
        <v>40</v>
      </c>
      <c r="AH29" s="15">
        <f t="shared" si="3"/>
        <v>40</v>
      </c>
      <c r="AI29" s="15">
        <f t="shared" si="3"/>
        <v>40</v>
      </c>
      <c r="AJ29" s="16">
        <f t="shared" si="3"/>
        <v>40</v>
      </c>
      <c r="AK29" s="15">
        <f t="shared" si="3"/>
        <v>40</v>
      </c>
      <c r="AL29" s="15">
        <f t="shared" si="3"/>
        <v>40</v>
      </c>
      <c r="AM29" s="15">
        <f t="shared" si="3"/>
        <v>40</v>
      </c>
      <c r="AN29" s="15">
        <f t="shared" si="3"/>
        <v>40</v>
      </c>
      <c r="AO29" s="17">
        <f t="shared" si="3"/>
        <v>0</v>
      </c>
    </row>
    <row r="30" spans="1:41" x14ac:dyDescent="0.3">
      <c r="A30" s="14" t="s">
        <v>36</v>
      </c>
      <c r="B30" s="15">
        <f t="shared" ref="B30:AO30" si="4">IF(MOD(B$25,$C$4)=0,1,0)</f>
        <v>0</v>
      </c>
      <c r="C30" s="15">
        <f t="shared" si="4"/>
        <v>0</v>
      </c>
      <c r="D30" s="15">
        <f t="shared" si="4"/>
        <v>0</v>
      </c>
      <c r="E30" s="15">
        <f t="shared" si="4"/>
        <v>0</v>
      </c>
      <c r="F30" s="16">
        <f t="shared" si="4"/>
        <v>0</v>
      </c>
      <c r="G30" s="15">
        <f t="shared" si="4"/>
        <v>0</v>
      </c>
      <c r="H30" s="15">
        <f t="shared" si="4"/>
        <v>0</v>
      </c>
      <c r="I30" s="15">
        <f t="shared" si="4"/>
        <v>0</v>
      </c>
      <c r="J30" s="15">
        <f t="shared" si="4"/>
        <v>0</v>
      </c>
      <c r="K30" s="17">
        <f t="shared" si="4"/>
        <v>1</v>
      </c>
      <c r="L30" s="15">
        <f t="shared" si="4"/>
        <v>0</v>
      </c>
      <c r="M30" s="15">
        <f t="shared" si="4"/>
        <v>0</v>
      </c>
      <c r="N30" s="15">
        <f t="shared" si="4"/>
        <v>0</v>
      </c>
      <c r="O30" s="15">
        <f t="shared" si="4"/>
        <v>0</v>
      </c>
      <c r="P30" s="16">
        <f t="shared" si="4"/>
        <v>0</v>
      </c>
      <c r="Q30" s="15">
        <f t="shared" si="4"/>
        <v>0</v>
      </c>
      <c r="R30" s="15">
        <f t="shared" si="4"/>
        <v>0</v>
      </c>
      <c r="S30" s="15">
        <f t="shared" si="4"/>
        <v>0</v>
      </c>
      <c r="T30" s="15">
        <f t="shared" si="4"/>
        <v>0</v>
      </c>
      <c r="U30" s="17">
        <f t="shared" si="4"/>
        <v>1</v>
      </c>
      <c r="V30" s="15">
        <f t="shared" si="4"/>
        <v>0</v>
      </c>
      <c r="W30" s="15">
        <f t="shared" si="4"/>
        <v>0</v>
      </c>
      <c r="X30" s="15">
        <f t="shared" si="4"/>
        <v>0</v>
      </c>
      <c r="Y30" s="15">
        <f t="shared" si="4"/>
        <v>0</v>
      </c>
      <c r="Z30" s="16">
        <f t="shared" si="4"/>
        <v>0</v>
      </c>
      <c r="AA30" s="15">
        <f t="shared" si="4"/>
        <v>0</v>
      </c>
      <c r="AB30" s="15">
        <f t="shared" si="4"/>
        <v>0</v>
      </c>
      <c r="AC30" s="15">
        <f t="shared" si="4"/>
        <v>0</v>
      </c>
      <c r="AD30" s="15">
        <f t="shared" si="4"/>
        <v>0</v>
      </c>
      <c r="AE30" s="17">
        <f t="shared" si="4"/>
        <v>1</v>
      </c>
      <c r="AF30" s="15">
        <f t="shared" si="4"/>
        <v>0</v>
      </c>
      <c r="AG30" s="15">
        <f t="shared" si="4"/>
        <v>0</v>
      </c>
      <c r="AH30" s="15">
        <f t="shared" si="4"/>
        <v>0</v>
      </c>
      <c r="AI30" s="15">
        <f t="shared" si="4"/>
        <v>0</v>
      </c>
      <c r="AJ30" s="16">
        <f t="shared" si="4"/>
        <v>0</v>
      </c>
      <c r="AK30" s="15">
        <f t="shared" si="4"/>
        <v>0</v>
      </c>
      <c r="AL30" s="15">
        <f t="shared" si="4"/>
        <v>0</v>
      </c>
      <c r="AM30" s="15">
        <f t="shared" si="4"/>
        <v>0</v>
      </c>
      <c r="AN30" s="15">
        <f t="shared" si="4"/>
        <v>0</v>
      </c>
      <c r="AO30" s="17">
        <f t="shared" si="4"/>
        <v>1</v>
      </c>
    </row>
    <row r="31" spans="1:41" x14ac:dyDescent="0.3">
      <c r="A31" s="14" t="s">
        <v>37</v>
      </c>
      <c r="B31" s="15">
        <f t="shared" ref="B31:AO31" si="5">IF(MOD(B$25-1,$C$4)=$J$4-1,1,0)</f>
        <v>0</v>
      </c>
      <c r="C31" s="15">
        <f t="shared" si="5"/>
        <v>0</v>
      </c>
      <c r="D31" s="15">
        <f t="shared" si="5"/>
        <v>0</v>
      </c>
      <c r="E31" s="15">
        <f t="shared" si="5"/>
        <v>0</v>
      </c>
      <c r="F31" s="16">
        <f t="shared" si="5"/>
        <v>1</v>
      </c>
      <c r="G31" s="15">
        <f t="shared" si="5"/>
        <v>0</v>
      </c>
      <c r="H31" s="15">
        <f t="shared" si="5"/>
        <v>0</v>
      </c>
      <c r="I31" s="15">
        <f t="shared" si="5"/>
        <v>0</v>
      </c>
      <c r="J31" s="15">
        <f t="shared" si="5"/>
        <v>0</v>
      </c>
      <c r="K31" s="17">
        <f t="shared" si="5"/>
        <v>0</v>
      </c>
      <c r="L31" s="15">
        <f t="shared" si="5"/>
        <v>0</v>
      </c>
      <c r="M31" s="15">
        <f t="shared" si="5"/>
        <v>0</v>
      </c>
      <c r="N31" s="15">
        <f t="shared" si="5"/>
        <v>0</v>
      </c>
      <c r="O31" s="15">
        <f t="shared" si="5"/>
        <v>0</v>
      </c>
      <c r="P31" s="16">
        <f t="shared" si="5"/>
        <v>1</v>
      </c>
      <c r="Q31" s="15">
        <f t="shared" si="5"/>
        <v>0</v>
      </c>
      <c r="R31" s="15">
        <f t="shared" si="5"/>
        <v>0</v>
      </c>
      <c r="S31" s="15">
        <f t="shared" si="5"/>
        <v>0</v>
      </c>
      <c r="T31" s="15">
        <f t="shared" si="5"/>
        <v>0</v>
      </c>
      <c r="U31" s="17">
        <f t="shared" si="5"/>
        <v>0</v>
      </c>
      <c r="V31" s="15">
        <f t="shared" si="5"/>
        <v>0</v>
      </c>
      <c r="W31" s="15">
        <f t="shared" si="5"/>
        <v>0</v>
      </c>
      <c r="X31" s="15">
        <f t="shared" si="5"/>
        <v>0</v>
      </c>
      <c r="Y31" s="15">
        <f t="shared" si="5"/>
        <v>0</v>
      </c>
      <c r="Z31" s="16">
        <f t="shared" si="5"/>
        <v>1</v>
      </c>
      <c r="AA31" s="15">
        <f t="shared" si="5"/>
        <v>0</v>
      </c>
      <c r="AB31" s="15">
        <f t="shared" si="5"/>
        <v>0</v>
      </c>
      <c r="AC31" s="15">
        <f t="shared" si="5"/>
        <v>0</v>
      </c>
      <c r="AD31" s="15">
        <f t="shared" si="5"/>
        <v>0</v>
      </c>
      <c r="AE31" s="17">
        <f t="shared" si="5"/>
        <v>0</v>
      </c>
      <c r="AF31" s="15">
        <f t="shared" si="5"/>
        <v>0</v>
      </c>
      <c r="AG31" s="15">
        <f t="shared" si="5"/>
        <v>0</v>
      </c>
      <c r="AH31" s="15">
        <f t="shared" si="5"/>
        <v>0</v>
      </c>
      <c r="AI31" s="15">
        <f t="shared" si="5"/>
        <v>0</v>
      </c>
      <c r="AJ31" s="16">
        <f t="shared" si="5"/>
        <v>1</v>
      </c>
      <c r="AK31" s="15">
        <f t="shared" si="5"/>
        <v>0</v>
      </c>
      <c r="AL31" s="15">
        <f t="shared" si="5"/>
        <v>0</v>
      </c>
      <c r="AM31" s="15">
        <f t="shared" si="5"/>
        <v>0</v>
      </c>
      <c r="AN31" s="15">
        <f t="shared" si="5"/>
        <v>0</v>
      </c>
      <c r="AO31" s="17">
        <f t="shared" si="5"/>
        <v>0</v>
      </c>
    </row>
    <row r="32" spans="1:41" x14ac:dyDescent="0.3">
      <c r="A32" s="14" t="s">
        <v>38</v>
      </c>
      <c r="B32" s="15">
        <f t="shared" ref="B32:AO32" si="6">SUM(B29:B31)</f>
        <v>10</v>
      </c>
      <c r="C32" s="15">
        <f t="shared" si="6"/>
        <v>10</v>
      </c>
      <c r="D32" s="15">
        <f t="shared" si="6"/>
        <v>10</v>
      </c>
      <c r="E32" s="15">
        <f t="shared" si="6"/>
        <v>10</v>
      </c>
      <c r="F32" s="16">
        <f t="shared" si="6"/>
        <v>11</v>
      </c>
      <c r="G32" s="15">
        <f t="shared" si="6"/>
        <v>10</v>
      </c>
      <c r="H32" s="15">
        <f t="shared" si="6"/>
        <v>10</v>
      </c>
      <c r="I32" s="15">
        <f t="shared" si="6"/>
        <v>10</v>
      </c>
      <c r="J32" s="15">
        <f t="shared" si="6"/>
        <v>10</v>
      </c>
      <c r="K32" s="17">
        <f t="shared" si="6"/>
        <v>1</v>
      </c>
      <c r="L32" s="15">
        <f t="shared" si="6"/>
        <v>20</v>
      </c>
      <c r="M32" s="15">
        <f t="shared" si="6"/>
        <v>20</v>
      </c>
      <c r="N32" s="15">
        <f t="shared" si="6"/>
        <v>20</v>
      </c>
      <c r="O32" s="15">
        <f t="shared" si="6"/>
        <v>20</v>
      </c>
      <c r="P32" s="16">
        <f t="shared" si="6"/>
        <v>21</v>
      </c>
      <c r="Q32" s="15">
        <f t="shared" si="6"/>
        <v>20</v>
      </c>
      <c r="R32" s="15">
        <f t="shared" si="6"/>
        <v>20</v>
      </c>
      <c r="S32" s="15">
        <f t="shared" si="6"/>
        <v>20</v>
      </c>
      <c r="T32" s="15">
        <f t="shared" si="6"/>
        <v>20</v>
      </c>
      <c r="U32" s="17">
        <f t="shared" si="6"/>
        <v>1</v>
      </c>
      <c r="V32" s="15">
        <f t="shared" si="6"/>
        <v>30</v>
      </c>
      <c r="W32" s="15">
        <f t="shared" si="6"/>
        <v>30</v>
      </c>
      <c r="X32" s="15">
        <f t="shared" si="6"/>
        <v>30</v>
      </c>
      <c r="Y32" s="15">
        <f t="shared" si="6"/>
        <v>30</v>
      </c>
      <c r="Z32" s="16">
        <f t="shared" si="6"/>
        <v>31</v>
      </c>
      <c r="AA32" s="15">
        <f t="shared" si="6"/>
        <v>30</v>
      </c>
      <c r="AB32" s="15">
        <f t="shared" si="6"/>
        <v>30</v>
      </c>
      <c r="AC32" s="15">
        <f t="shared" si="6"/>
        <v>30</v>
      </c>
      <c r="AD32" s="15">
        <f t="shared" si="6"/>
        <v>30</v>
      </c>
      <c r="AE32" s="17">
        <f t="shared" si="6"/>
        <v>1</v>
      </c>
      <c r="AF32" s="15">
        <f t="shared" si="6"/>
        <v>40</v>
      </c>
      <c r="AG32" s="15">
        <f t="shared" si="6"/>
        <v>40</v>
      </c>
      <c r="AH32" s="15">
        <f t="shared" si="6"/>
        <v>40</v>
      </c>
      <c r="AI32" s="15">
        <f t="shared" si="6"/>
        <v>40</v>
      </c>
      <c r="AJ32" s="16">
        <f t="shared" si="6"/>
        <v>41</v>
      </c>
      <c r="AK32" s="15">
        <f t="shared" si="6"/>
        <v>40</v>
      </c>
      <c r="AL32" s="15">
        <f t="shared" si="6"/>
        <v>40</v>
      </c>
      <c r="AM32" s="15">
        <f t="shared" si="6"/>
        <v>40</v>
      </c>
      <c r="AN32" s="15">
        <f t="shared" si="6"/>
        <v>40</v>
      </c>
      <c r="AO32" s="17">
        <f t="shared" si="6"/>
        <v>1</v>
      </c>
    </row>
    <row r="33" spans="1:41" x14ac:dyDescent="0.3">
      <c r="A33" s="14" t="s">
        <v>39</v>
      </c>
      <c r="B33" s="15">
        <f t="shared" ref="B33:AO33" si="7">B29*B$25*$D$4</f>
        <v>100</v>
      </c>
      <c r="C33" s="15">
        <f t="shared" si="7"/>
        <v>200</v>
      </c>
      <c r="D33" s="15">
        <f t="shared" si="7"/>
        <v>300</v>
      </c>
      <c r="E33" s="15">
        <f t="shared" si="7"/>
        <v>400</v>
      </c>
      <c r="F33" s="16">
        <f t="shared" si="7"/>
        <v>500</v>
      </c>
      <c r="G33" s="15">
        <f t="shared" si="7"/>
        <v>600</v>
      </c>
      <c r="H33" s="15">
        <f t="shared" si="7"/>
        <v>700</v>
      </c>
      <c r="I33" s="15">
        <f t="shared" si="7"/>
        <v>800</v>
      </c>
      <c r="J33" s="15">
        <f t="shared" si="7"/>
        <v>900</v>
      </c>
      <c r="K33" s="17">
        <f t="shared" si="7"/>
        <v>0</v>
      </c>
      <c r="L33" s="15">
        <f t="shared" si="7"/>
        <v>2200</v>
      </c>
      <c r="M33" s="15">
        <f t="shared" si="7"/>
        <v>2400</v>
      </c>
      <c r="N33" s="15">
        <f t="shared" si="7"/>
        <v>2600</v>
      </c>
      <c r="O33" s="15">
        <f t="shared" si="7"/>
        <v>2800</v>
      </c>
      <c r="P33" s="16">
        <f t="shared" si="7"/>
        <v>3000</v>
      </c>
      <c r="Q33" s="15">
        <f t="shared" si="7"/>
        <v>3200</v>
      </c>
      <c r="R33" s="15">
        <f t="shared" si="7"/>
        <v>3400</v>
      </c>
      <c r="S33" s="15">
        <f t="shared" si="7"/>
        <v>3600</v>
      </c>
      <c r="T33" s="15">
        <f t="shared" si="7"/>
        <v>3800</v>
      </c>
      <c r="U33" s="17">
        <f t="shared" si="7"/>
        <v>0</v>
      </c>
      <c r="V33" s="15">
        <f t="shared" si="7"/>
        <v>6300</v>
      </c>
      <c r="W33" s="15">
        <f t="shared" si="7"/>
        <v>6600</v>
      </c>
      <c r="X33" s="15">
        <f t="shared" si="7"/>
        <v>6900</v>
      </c>
      <c r="Y33" s="15">
        <f t="shared" si="7"/>
        <v>7200</v>
      </c>
      <c r="Z33" s="16">
        <f t="shared" si="7"/>
        <v>7500</v>
      </c>
      <c r="AA33" s="15">
        <f t="shared" si="7"/>
        <v>7800</v>
      </c>
      <c r="AB33" s="15">
        <f t="shared" si="7"/>
        <v>8100</v>
      </c>
      <c r="AC33" s="15">
        <f t="shared" si="7"/>
        <v>8400</v>
      </c>
      <c r="AD33" s="15">
        <f t="shared" si="7"/>
        <v>8700</v>
      </c>
      <c r="AE33" s="17">
        <f t="shared" si="7"/>
        <v>0</v>
      </c>
      <c r="AF33" s="15">
        <f t="shared" si="7"/>
        <v>12400</v>
      </c>
      <c r="AG33" s="15">
        <f t="shared" si="7"/>
        <v>12800</v>
      </c>
      <c r="AH33" s="15">
        <f t="shared" si="7"/>
        <v>13200</v>
      </c>
      <c r="AI33" s="15">
        <f t="shared" si="7"/>
        <v>13600</v>
      </c>
      <c r="AJ33" s="16">
        <f t="shared" si="7"/>
        <v>14000</v>
      </c>
      <c r="AK33" s="15">
        <f t="shared" si="7"/>
        <v>14400</v>
      </c>
      <c r="AL33" s="15">
        <f t="shared" si="7"/>
        <v>14800</v>
      </c>
      <c r="AM33" s="15">
        <f t="shared" si="7"/>
        <v>15200</v>
      </c>
      <c r="AN33" s="15">
        <f t="shared" si="7"/>
        <v>15600</v>
      </c>
      <c r="AO33" s="17">
        <f t="shared" si="7"/>
        <v>0</v>
      </c>
    </row>
    <row r="34" spans="1:41" x14ac:dyDescent="0.3">
      <c r="A34" s="14" t="s">
        <v>40</v>
      </c>
      <c r="B34" s="15">
        <f t="shared" ref="B34:AO34" si="8">B30*B$25*$G$4*B27</f>
        <v>0</v>
      </c>
      <c r="C34" s="15">
        <f t="shared" si="8"/>
        <v>0</v>
      </c>
      <c r="D34" s="15">
        <f t="shared" si="8"/>
        <v>0</v>
      </c>
      <c r="E34" s="15">
        <f t="shared" si="8"/>
        <v>0</v>
      </c>
      <c r="F34" s="16">
        <f t="shared" si="8"/>
        <v>0</v>
      </c>
      <c r="G34" s="15">
        <f t="shared" si="8"/>
        <v>0</v>
      </c>
      <c r="H34" s="15">
        <f t="shared" si="8"/>
        <v>0</v>
      </c>
      <c r="I34" s="15">
        <f t="shared" si="8"/>
        <v>0</v>
      </c>
      <c r="J34" s="15">
        <f t="shared" si="8"/>
        <v>0</v>
      </c>
      <c r="K34" s="17">
        <f t="shared" si="8"/>
        <v>1000</v>
      </c>
      <c r="L34" s="15">
        <f t="shared" si="8"/>
        <v>0</v>
      </c>
      <c r="M34" s="15">
        <f t="shared" si="8"/>
        <v>0</v>
      </c>
      <c r="N34" s="15">
        <f t="shared" si="8"/>
        <v>0</v>
      </c>
      <c r="O34" s="15">
        <f t="shared" si="8"/>
        <v>0</v>
      </c>
      <c r="P34" s="16">
        <f t="shared" si="8"/>
        <v>0</v>
      </c>
      <c r="Q34" s="15">
        <f t="shared" si="8"/>
        <v>0</v>
      </c>
      <c r="R34" s="15">
        <f t="shared" si="8"/>
        <v>0</v>
      </c>
      <c r="S34" s="15">
        <f t="shared" si="8"/>
        <v>0</v>
      </c>
      <c r="T34" s="15">
        <f t="shared" si="8"/>
        <v>0</v>
      </c>
      <c r="U34" s="17">
        <f t="shared" si="8"/>
        <v>4000</v>
      </c>
      <c r="V34" s="15">
        <f t="shared" si="8"/>
        <v>0</v>
      </c>
      <c r="W34" s="15">
        <f t="shared" si="8"/>
        <v>0</v>
      </c>
      <c r="X34" s="15">
        <f t="shared" si="8"/>
        <v>0</v>
      </c>
      <c r="Y34" s="15">
        <f t="shared" si="8"/>
        <v>0</v>
      </c>
      <c r="Z34" s="16">
        <f t="shared" si="8"/>
        <v>0</v>
      </c>
      <c r="AA34" s="15">
        <f t="shared" si="8"/>
        <v>0</v>
      </c>
      <c r="AB34" s="15">
        <f t="shared" si="8"/>
        <v>0</v>
      </c>
      <c r="AC34" s="15">
        <f t="shared" si="8"/>
        <v>0</v>
      </c>
      <c r="AD34" s="15">
        <f t="shared" si="8"/>
        <v>0</v>
      </c>
      <c r="AE34" s="17">
        <f t="shared" si="8"/>
        <v>9000</v>
      </c>
      <c r="AF34" s="15">
        <f t="shared" si="8"/>
        <v>0</v>
      </c>
      <c r="AG34" s="15">
        <f t="shared" si="8"/>
        <v>0</v>
      </c>
      <c r="AH34" s="15">
        <f t="shared" si="8"/>
        <v>0</v>
      </c>
      <c r="AI34" s="15">
        <f t="shared" si="8"/>
        <v>0</v>
      </c>
      <c r="AJ34" s="16">
        <f t="shared" si="8"/>
        <v>0</v>
      </c>
      <c r="AK34" s="15">
        <f t="shared" si="8"/>
        <v>0</v>
      </c>
      <c r="AL34" s="15">
        <f t="shared" si="8"/>
        <v>0</v>
      </c>
      <c r="AM34" s="15">
        <f t="shared" si="8"/>
        <v>0</v>
      </c>
      <c r="AN34" s="15">
        <f t="shared" si="8"/>
        <v>0</v>
      </c>
      <c r="AO34" s="17">
        <f t="shared" si="8"/>
        <v>16000</v>
      </c>
    </row>
    <row r="35" spans="1:41" x14ac:dyDescent="0.3">
      <c r="A35" s="14" t="s">
        <v>41</v>
      </c>
      <c r="B35" s="15">
        <f t="shared" ref="B35:AO35" si="9">B31*(INT((B$25-1)/$C$4)*$C$4+$J$4)*$E$4*B27</f>
        <v>0</v>
      </c>
      <c r="C35" s="15">
        <f t="shared" si="9"/>
        <v>0</v>
      </c>
      <c r="D35" s="15">
        <f t="shared" si="9"/>
        <v>0</v>
      </c>
      <c r="E35" s="15">
        <f t="shared" si="9"/>
        <v>0</v>
      </c>
      <c r="F35" s="16">
        <f t="shared" si="9"/>
        <v>250</v>
      </c>
      <c r="G35" s="15">
        <f t="shared" si="9"/>
        <v>0</v>
      </c>
      <c r="H35" s="15">
        <f t="shared" si="9"/>
        <v>0</v>
      </c>
      <c r="I35" s="15">
        <f t="shared" si="9"/>
        <v>0</v>
      </c>
      <c r="J35" s="15">
        <f t="shared" si="9"/>
        <v>0</v>
      </c>
      <c r="K35" s="17">
        <f t="shared" si="9"/>
        <v>0</v>
      </c>
      <c r="L35" s="15">
        <f t="shared" si="9"/>
        <v>0</v>
      </c>
      <c r="M35" s="15">
        <f t="shared" si="9"/>
        <v>0</v>
      </c>
      <c r="N35" s="15">
        <f t="shared" si="9"/>
        <v>0</v>
      </c>
      <c r="O35" s="15">
        <f t="shared" si="9"/>
        <v>0</v>
      </c>
      <c r="P35" s="16">
        <f t="shared" si="9"/>
        <v>1500</v>
      </c>
      <c r="Q35" s="15">
        <f t="shared" si="9"/>
        <v>0</v>
      </c>
      <c r="R35" s="15">
        <f t="shared" si="9"/>
        <v>0</v>
      </c>
      <c r="S35" s="15">
        <f t="shared" si="9"/>
        <v>0</v>
      </c>
      <c r="T35" s="15">
        <f t="shared" si="9"/>
        <v>0</v>
      </c>
      <c r="U35" s="17">
        <f t="shared" si="9"/>
        <v>0</v>
      </c>
      <c r="V35" s="15">
        <f t="shared" si="9"/>
        <v>0</v>
      </c>
      <c r="W35" s="15">
        <f t="shared" si="9"/>
        <v>0</v>
      </c>
      <c r="X35" s="15">
        <f t="shared" si="9"/>
        <v>0</v>
      </c>
      <c r="Y35" s="15">
        <f t="shared" si="9"/>
        <v>0</v>
      </c>
      <c r="Z35" s="16">
        <f t="shared" si="9"/>
        <v>3750</v>
      </c>
      <c r="AA35" s="15">
        <f t="shared" si="9"/>
        <v>0</v>
      </c>
      <c r="AB35" s="15">
        <f t="shared" si="9"/>
        <v>0</v>
      </c>
      <c r="AC35" s="15">
        <f t="shared" si="9"/>
        <v>0</v>
      </c>
      <c r="AD35" s="15">
        <f t="shared" si="9"/>
        <v>0</v>
      </c>
      <c r="AE35" s="17">
        <f t="shared" si="9"/>
        <v>0</v>
      </c>
      <c r="AF35" s="15">
        <f t="shared" si="9"/>
        <v>0</v>
      </c>
      <c r="AG35" s="15">
        <f t="shared" si="9"/>
        <v>0</v>
      </c>
      <c r="AH35" s="15">
        <f t="shared" si="9"/>
        <v>0</v>
      </c>
      <c r="AI35" s="15">
        <f t="shared" si="9"/>
        <v>0</v>
      </c>
      <c r="AJ35" s="16">
        <f t="shared" si="9"/>
        <v>7000</v>
      </c>
      <c r="AK35" s="15">
        <f t="shared" si="9"/>
        <v>0</v>
      </c>
      <c r="AL35" s="15">
        <f t="shared" si="9"/>
        <v>0</v>
      </c>
      <c r="AM35" s="15">
        <f t="shared" si="9"/>
        <v>0</v>
      </c>
      <c r="AN35" s="15">
        <f t="shared" si="9"/>
        <v>0</v>
      </c>
      <c r="AO35" s="17">
        <f t="shared" si="9"/>
        <v>0</v>
      </c>
    </row>
    <row r="36" spans="1:41" x14ac:dyDescent="0.3">
      <c r="A36" s="14" t="s">
        <v>42</v>
      </c>
      <c r="B36" s="15">
        <f t="shared" ref="B36:AO36" si="10">SUM(B33:B35)</f>
        <v>100</v>
      </c>
      <c r="C36" s="15">
        <f t="shared" si="10"/>
        <v>200</v>
      </c>
      <c r="D36" s="15">
        <f t="shared" si="10"/>
        <v>300</v>
      </c>
      <c r="E36" s="15">
        <f t="shared" si="10"/>
        <v>400</v>
      </c>
      <c r="F36" s="16">
        <f t="shared" si="10"/>
        <v>750</v>
      </c>
      <c r="G36" s="15">
        <f t="shared" si="10"/>
        <v>600</v>
      </c>
      <c r="H36" s="15">
        <f t="shared" si="10"/>
        <v>700</v>
      </c>
      <c r="I36" s="15">
        <f t="shared" si="10"/>
        <v>800</v>
      </c>
      <c r="J36" s="15">
        <f t="shared" si="10"/>
        <v>900</v>
      </c>
      <c r="K36" s="17">
        <f t="shared" si="10"/>
        <v>1000</v>
      </c>
      <c r="L36" s="15">
        <f t="shared" si="10"/>
        <v>2200</v>
      </c>
      <c r="M36" s="15">
        <f t="shared" si="10"/>
        <v>2400</v>
      </c>
      <c r="N36" s="15">
        <f t="shared" si="10"/>
        <v>2600</v>
      </c>
      <c r="O36" s="15">
        <f t="shared" si="10"/>
        <v>2800</v>
      </c>
      <c r="P36" s="16">
        <f t="shared" si="10"/>
        <v>4500</v>
      </c>
      <c r="Q36" s="15">
        <f t="shared" si="10"/>
        <v>3200</v>
      </c>
      <c r="R36" s="15">
        <f t="shared" si="10"/>
        <v>3400</v>
      </c>
      <c r="S36" s="15">
        <f t="shared" si="10"/>
        <v>3600</v>
      </c>
      <c r="T36" s="15">
        <f t="shared" si="10"/>
        <v>3800</v>
      </c>
      <c r="U36" s="17">
        <f t="shared" si="10"/>
        <v>4000</v>
      </c>
      <c r="V36" s="15">
        <f t="shared" si="10"/>
        <v>6300</v>
      </c>
      <c r="W36" s="15">
        <f t="shared" si="10"/>
        <v>6600</v>
      </c>
      <c r="X36" s="15">
        <f t="shared" si="10"/>
        <v>6900</v>
      </c>
      <c r="Y36" s="15">
        <f t="shared" si="10"/>
        <v>7200</v>
      </c>
      <c r="Z36" s="16">
        <f t="shared" si="10"/>
        <v>11250</v>
      </c>
      <c r="AA36" s="15">
        <f t="shared" si="10"/>
        <v>7800</v>
      </c>
      <c r="AB36" s="15">
        <f t="shared" si="10"/>
        <v>8100</v>
      </c>
      <c r="AC36" s="15">
        <f t="shared" si="10"/>
        <v>8400</v>
      </c>
      <c r="AD36" s="15">
        <f t="shared" si="10"/>
        <v>8700</v>
      </c>
      <c r="AE36" s="17">
        <f t="shared" si="10"/>
        <v>9000</v>
      </c>
      <c r="AF36" s="15">
        <f t="shared" si="10"/>
        <v>12400</v>
      </c>
      <c r="AG36" s="15">
        <f t="shared" si="10"/>
        <v>12800</v>
      </c>
      <c r="AH36" s="15">
        <f t="shared" si="10"/>
        <v>13200</v>
      </c>
      <c r="AI36" s="15">
        <f t="shared" si="10"/>
        <v>13600</v>
      </c>
      <c r="AJ36" s="16">
        <f t="shared" si="10"/>
        <v>21000</v>
      </c>
      <c r="AK36" s="15">
        <f t="shared" si="10"/>
        <v>14400</v>
      </c>
      <c r="AL36" s="15">
        <f t="shared" si="10"/>
        <v>14800</v>
      </c>
      <c r="AM36" s="15">
        <f t="shared" si="10"/>
        <v>15200</v>
      </c>
      <c r="AN36" s="15">
        <f t="shared" si="10"/>
        <v>15600</v>
      </c>
      <c r="AO36" s="17">
        <f t="shared" si="10"/>
        <v>16000</v>
      </c>
    </row>
    <row r="37" spans="1:41" x14ac:dyDescent="0.3">
      <c r="A37" s="14" t="s">
        <v>43</v>
      </c>
      <c r="B37" s="15">
        <f t="shared" ref="B37:AO37" si="11">B30*B$25*$H$4*B27</f>
        <v>0</v>
      </c>
      <c r="C37" s="15">
        <f t="shared" si="11"/>
        <v>0</v>
      </c>
      <c r="D37" s="15">
        <f t="shared" si="11"/>
        <v>0</v>
      </c>
      <c r="E37" s="15">
        <f t="shared" si="11"/>
        <v>0</v>
      </c>
      <c r="F37" s="16">
        <f t="shared" si="11"/>
        <v>0</v>
      </c>
      <c r="G37" s="15">
        <f t="shared" si="11"/>
        <v>0</v>
      </c>
      <c r="H37" s="15">
        <f t="shared" si="11"/>
        <v>0</v>
      </c>
      <c r="I37" s="15">
        <f t="shared" si="11"/>
        <v>0</v>
      </c>
      <c r="J37" s="15">
        <f t="shared" si="11"/>
        <v>0</v>
      </c>
      <c r="K37" s="17">
        <f t="shared" si="11"/>
        <v>20</v>
      </c>
      <c r="L37" s="15">
        <f t="shared" si="11"/>
        <v>0</v>
      </c>
      <c r="M37" s="15">
        <f t="shared" si="11"/>
        <v>0</v>
      </c>
      <c r="N37" s="15">
        <f t="shared" si="11"/>
        <v>0</v>
      </c>
      <c r="O37" s="15">
        <f t="shared" si="11"/>
        <v>0</v>
      </c>
      <c r="P37" s="16">
        <f t="shared" si="11"/>
        <v>0</v>
      </c>
      <c r="Q37" s="15">
        <f t="shared" si="11"/>
        <v>0</v>
      </c>
      <c r="R37" s="15">
        <f t="shared" si="11"/>
        <v>0</v>
      </c>
      <c r="S37" s="15">
        <f t="shared" si="11"/>
        <v>0</v>
      </c>
      <c r="T37" s="15">
        <f t="shared" si="11"/>
        <v>0</v>
      </c>
      <c r="U37" s="17">
        <f t="shared" si="11"/>
        <v>80</v>
      </c>
      <c r="V37" s="15">
        <f t="shared" si="11"/>
        <v>0</v>
      </c>
      <c r="W37" s="15">
        <f t="shared" si="11"/>
        <v>0</v>
      </c>
      <c r="X37" s="15">
        <f t="shared" si="11"/>
        <v>0</v>
      </c>
      <c r="Y37" s="15">
        <f t="shared" si="11"/>
        <v>0</v>
      </c>
      <c r="Z37" s="16">
        <f t="shared" si="11"/>
        <v>0</v>
      </c>
      <c r="AA37" s="15">
        <f t="shared" si="11"/>
        <v>0</v>
      </c>
      <c r="AB37" s="15">
        <f t="shared" si="11"/>
        <v>0</v>
      </c>
      <c r="AC37" s="15">
        <f t="shared" si="11"/>
        <v>0</v>
      </c>
      <c r="AD37" s="15">
        <f t="shared" si="11"/>
        <v>0</v>
      </c>
      <c r="AE37" s="17">
        <f t="shared" si="11"/>
        <v>180</v>
      </c>
      <c r="AF37" s="15">
        <f t="shared" si="11"/>
        <v>0</v>
      </c>
      <c r="AG37" s="15">
        <f t="shared" si="11"/>
        <v>0</v>
      </c>
      <c r="AH37" s="15">
        <f t="shared" si="11"/>
        <v>0</v>
      </c>
      <c r="AI37" s="15">
        <f t="shared" si="11"/>
        <v>0</v>
      </c>
      <c r="AJ37" s="16">
        <f t="shared" si="11"/>
        <v>0</v>
      </c>
      <c r="AK37" s="15">
        <f t="shared" si="11"/>
        <v>0</v>
      </c>
      <c r="AL37" s="15">
        <f t="shared" si="11"/>
        <v>0</v>
      </c>
      <c r="AM37" s="15">
        <f t="shared" si="11"/>
        <v>0</v>
      </c>
      <c r="AN37" s="15">
        <f t="shared" si="11"/>
        <v>0</v>
      </c>
      <c r="AO37" s="17">
        <f t="shared" si="11"/>
        <v>320</v>
      </c>
    </row>
    <row r="38" spans="1:41" x14ac:dyDescent="0.3">
      <c r="A38" s="14" t="s">
        <v>44</v>
      </c>
      <c r="B38" s="15">
        <f t="shared" ref="B38:AO38" si="12">B31*(INT((B$25-1)/$C$4)*$C$4+$J$4)*$F$4*B27</f>
        <v>0</v>
      </c>
      <c r="C38" s="15">
        <f t="shared" si="12"/>
        <v>0</v>
      </c>
      <c r="D38" s="15">
        <f t="shared" si="12"/>
        <v>0</v>
      </c>
      <c r="E38" s="15">
        <f t="shared" si="12"/>
        <v>0</v>
      </c>
      <c r="F38" s="16">
        <f t="shared" si="12"/>
        <v>5</v>
      </c>
      <c r="G38" s="15">
        <f t="shared" si="12"/>
        <v>0</v>
      </c>
      <c r="H38" s="15">
        <f t="shared" si="12"/>
        <v>0</v>
      </c>
      <c r="I38" s="15">
        <f t="shared" si="12"/>
        <v>0</v>
      </c>
      <c r="J38" s="15">
        <f t="shared" si="12"/>
        <v>0</v>
      </c>
      <c r="K38" s="17">
        <f t="shared" si="12"/>
        <v>0</v>
      </c>
      <c r="L38" s="15">
        <f t="shared" si="12"/>
        <v>0</v>
      </c>
      <c r="M38" s="15">
        <f t="shared" si="12"/>
        <v>0</v>
      </c>
      <c r="N38" s="15">
        <f t="shared" si="12"/>
        <v>0</v>
      </c>
      <c r="O38" s="15">
        <f t="shared" si="12"/>
        <v>0</v>
      </c>
      <c r="P38" s="16">
        <f t="shared" si="12"/>
        <v>30</v>
      </c>
      <c r="Q38" s="15">
        <f t="shared" si="12"/>
        <v>0</v>
      </c>
      <c r="R38" s="15">
        <f t="shared" si="12"/>
        <v>0</v>
      </c>
      <c r="S38" s="15">
        <f t="shared" si="12"/>
        <v>0</v>
      </c>
      <c r="T38" s="15">
        <f t="shared" si="12"/>
        <v>0</v>
      </c>
      <c r="U38" s="17">
        <f t="shared" si="12"/>
        <v>0</v>
      </c>
      <c r="V38" s="15">
        <f t="shared" si="12"/>
        <v>0</v>
      </c>
      <c r="W38" s="15">
        <f t="shared" si="12"/>
        <v>0</v>
      </c>
      <c r="X38" s="15">
        <f t="shared" si="12"/>
        <v>0</v>
      </c>
      <c r="Y38" s="15">
        <f t="shared" si="12"/>
        <v>0</v>
      </c>
      <c r="Z38" s="16">
        <f t="shared" si="12"/>
        <v>75</v>
      </c>
      <c r="AA38" s="15">
        <f t="shared" si="12"/>
        <v>0</v>
      </c>
      <c r="AB38" s="15">
        <f t="shared" si="12"/>
        <v>0</v>
      </c>
      <c r="AC38" s="15">
        <f t="shared" si="12"/>
        <v>0</v>
      </c>
      <c r="AD38" s="15">
        <f t="shared" si="12"/>
        <v>0</v>
      </c>
      <c r="AE38" s="17">
        <f t="shared" si="12"/>
        <v>0</v>
      </c>
      <c r="AF38" s="15">
        <f t="shared" si="12"/>
        <v>0</v>
      </c>
      <c r="AG38" s="15">
        <f t="shared" si="12"/>
        <v>0</v>
      </c>
      <c r="AH38" s="15">
        <f t="shared" si="12"/>
        <v>0</v>
      </c>
      <c r="AI38" s="15">
        <f t="shared" si="12"/>
        <v>0</v>
      </c>
      <c r="AJ38" s="16">
        <f t="shared" si="12"/>
        <v>140</v>
      </c>
      <c r="AK38" s="15">
        <f t="shared" si="12"/>
        <v>0</v>
      </c>
      <c r="AL38" s="15">
        <f t="shared" si="12"/>
        <v>0</v>
      </c>
      <c r="AM38" s="15">
        <f t="shared" si="12"/>
        <v>0</v>
      </c>
      <c r="AN38" s="15">
        <f t="shared" si="12"/>
        <v>0</v>
      </c>
      <c r="AO38" s="17">
        <f t="shared" si="12"/>
        <v>0</v>
      </c>
    </row>
    <row r="39" spans="1:41" x14ac:dyDescent="0.3">
      <c r="A39" s="14" t="s">
        <v>45</v>
      </c>
      <c r="B39" s="15">
        <f t="shared" ref="B39:AO39" si="13">SUM(B37:B38)</f>
        <v>0</v>
      </c>
      <c r="C39" s="15">
        <f t="shared" si="13"/>
        <v>0</v>
      </c>
      <c r="D39" s="15">
        <f t="shared" si="13"/>
        <v>0</v>
      </c>
      <c r="E39" s="15">
        <f t="shared" si="13"/>
        <v>0</v>
      </c>
      <c r="F39" s="16">
        <f t="shared" si="13"/>
        <v>5</v>
      </c>
      <c r="G39" s="15">
        <f t="shared" si="13"/>
        <v>0</v>
      </c>
      <c r="H39" s="15">
        <f t="shared" si="13"/>
        <v>0</v>
      </c>
      <c r="I39" s="15">
        <f t="shared" si="13"/>
        <v>0</v>
      </c>
      <c r="J39" s="15">
        <f t="shared" si="13"/>
        <v>0</v>
      </c>
      <c r="K39" s="17">
        <f t="shared" si="13"/>
        <v>20</v>
      </c>
      <c r="L39" s="15">
        <f t="shared" si="13"/>
        <v>0</v>
      </c>
      <c r="M39" s="15">
        <f t="shared" si="13"/>
        <v>0</v>
      </c>
      <c r="N39" s="15">
        <f t="shared" si="13"/>
        <v>0</v>
      </c>
      <c r="O39" s="15">
        <f t="shared" si="13"/>
        <v>0</v>
      </c>
      <c r="P39" s="16">
        <f t="shared" si="13"/>
        <v>30</v>
      </c>
      <c r="Q39" s="15">
        <f t="shared" si="13"/>
        <v>0</v>
      </c>
      <c r="R39" s="15">
        <f t="shared" si="13"/>
        <v>0</v>
      </c>
      <c r="S39" s="15">
        <f t="shared" si="13"/>
        <v>0</v>
      </c>
      <c r="T39" s="15">
        <f t="shared" si="13"/>
        <v>0</v>
      </c>
      <c r="U39" s="17">
        <f t="shared" si="13"/>
        <v>80</v>
      </c>
      <c r="V39" s="15">
        <f t="shared" si="13"/>
        <v>0</v>
      </c>
      <c r="W39" s="15">
        <f t="shared" si="13"/>
        <v>0</v>
      </c>
      <c r="X39" s="15">
        <f t="shared" si="13"/>
        <v>0</v>
      </c>
      <c r="Y39" s="15">
        <f t="shared" si="13"/>
        <v>0</v>
      </c>
      <c r="Z39" s="16">
        <f t="shared" si="13"/>
        <v>75</v>
      </c>
      <c r="AA39" s="15">
        <f t="shared" si="13"/>
        <v>0</v>
      </c>
      <c r="AB39" s="15">
        <f t="shared" si="13"/>
        <v>0</v>
      </c>
      <c r="AC39" s="15">
        <f t="shared" si="13"/>
        <v>0</v>
      </c>
      <c r="AD39" s="15">
        <f t="shared" si="13"/>
        <v>0</v>
      </c>
      <c r="AE39" s="17">
        <f t="shared" si="13"/>
        <v>180</v>
      </c>
      <c r="AF39" s="15">
        <f t="shared" si="13"/>
        <v>0</v>
      </c>
      <c r="AG39" s="15">
        <f t="shared" si="13"/>
        <v>0</v>
      </c>
      <c r="AH39" s="15">
        <f t="shared" si="13"/>
        <v>0</v>
      </c>
      <c r="AI39" s="15">
        <f t="shared" si="13"/>
        <v>0</v>
      </c>
      <c r="AJ39" s="16">
        <f t="shared" si="13"/>
        <v>140</v>
      </c>
      <c r="AK39" s="15">
        <f t="shared" si="13"/>
        <v>0</v>
      </c>
      <c r="AL39" s="15">
        <f t="shared" si="13"/>
        <v>0</v>
      </c>
      <c r="AM39" s="15">
        <f t="shared" si="13"/>
        <v>0</v>
      </c>
      <c r="AN39" s="15">
        <f t="shared" si="13"/>
        <v>0</v>
      </c>
      <c r="AO39" s="17">
        <f t="shared" si="13"/>
        <v>320</v>
      </c>
    </row>
    <row r="40" spans="1:41" x14ac:dyDescent="0.3">
      <c r="A40" s="14" t="s">
        <v>46</v>
      </c>
      <c r="B40" s="15">
        <f>SUM($B$36:B36)</f>
        <v>100</v>
      </c>
      <c r="C40" s="15">
        <f>SUM($B$36:C36)</f>
        <v>300</v>
      </c>
      <c r="D40" s="15">
        <f>SUM($B$36:D36)</f>
        <v>600</v>
      </c>
      <c r="E40" s="15">
        <f>SUM($B$36:E36)</f>
        <v>1000</v>
      </c>
      <c r="F40" s="16">
        <f>SUM($B$36:F36)</f>
        <v>1750</v>
      </c>
      <c r="G40" s="15">
        <f>SUM($B$36:G36)</f>
        <v>2350</v>
      </c>
      <c r="H40" s="15">
        <f>SUM($B$36:H36)</f>
        <v>3050</v>
      </c>
      <c r="I40" s="15">
        <f>SUM($B$36:I36)</f>
        <v>3850</v>
      </c>
      <c r="J40" s="15">
        <f>SUM($B$36:J36)</f>
        <v>4750</v>
      </c>
      <c r="K40" s="17">
        <f>SUM($B$36:K36)</f>
        <v>5750</v>
      </c>
      <c r="L40" s="15">
        <f>SUM($B$36:L36)</f>
        <v>7950</v>
      </c>
      <c r="M40" s="15">
        <f>SUM($B$36:M36)</f>
        <v>10350</v>
      </c>
      <c r="N40" s="15">
        <f>SUM($B$36:N36)</f>
        <v>12950</v>
      </c>
      <c r="O40" s="15">
        <f>SUM($B$36:O36)</f>
        <v>15750</v>
      </c>
      <c r="P40" s="16">
        <f>SUM($B$36:P36)</f>
        <v>20250</v>
      </c>
      <c r="Q40" s="15">
        <f>SUM($B$36:Q36)</f>
        <v>23450</v>
      </c>
      <c r="R40" s="15">
        <f>SUM($B$36:R36)</f>
        <v>26850</v>
      </c>
      <c r="S40" s="15">
        <f>SUM($B$36:S36)</f>
        <v>30450</v>
      </c>
      <c r="T40" s="15">
        <f>SUM($B$36:T36)</f>
        <v>34250</v>
      </c>
      <c r="U40" s="17">
        <f>SUM($B$36:U36)</f>
        <v>38250</v>
      </c>
      <c r="V40" s="15">
        <f>SUM($B$36:V36)</f>
        <v>44550</v>
      </c>
      <c r="W40" s="15">
        <f>SUM($B$36:W36)</f>
        <v>51150</v>
      </c>
      <c r="X40" s="15">
        <f>SUM($B$36:X36)</f>
        <v>58050</v>
      </c>
      <c r="Y40" s="15">
        <f>SUM($B$36:Y36)</f>
        <v>65250</v>
      </c>
      <c r="Z40" s="16">
        <f>SUM($B$36:Z36)</f>
        <v>76500</v>
      </c>
      <c r="AA40" s="15">
        <f>SUM($B$36:AA36)</f>
        <v>84300</v>
      </c>
      <c r="AB40" s="15">
        <f>SUM($B$36:AB36)</f>
        <v>92400</v>
      </c>
      <c r="AC40" s="15">
        <f>SUM($B$36:AC36)</f>
        <v>100800</v>
      </c>
      <c r="AD40" s="15">
        <f>SUM($B$36:AD36)</f>
        <v>109500</v>
      </c>
      <c r="AE40" s="17">
        <f>SUM($B$36:AE36)</f>
        <v>118500</v>
      </c>
      <c r="AF40" s="15">
        <f>SUM($B$36:AF36)</f>
        <v>130900</v>
      </c>
      <c r="AG40" s="15">
        <f>SUM($B$36:AG36)</f>
        <v>143700</v>
      </c>
      <c r="AH40" s="15">
        <f>SUM($B$36:AH36)</f>
        <v>156900</v>
      </c>
      <c r="AI40" s="15">
        <f>SUM($B$36:AI36)</f>
        <v>170500</v>
      </c>
      <c r="AJ40" s="16">
        <f>SUM($B$36:AJ36)</f>
        <v>191500</v>
      </c>
      <c r="AK40" s="15">
        <f>SUM($B$36:AK36)</f>
        <v>205900</v>
      </c>
      <c r="AL40" s="15">
        <f>SUM($B$36:AL36)</f>
        <v>220700</v>
      </c>
      <c r="AM40" s="15">
        <f>SUM($B$36:AM36)</f>
        <v>235900</v>
      </c>
      <c r="AN40" s="15">
        <f>SUM($B$36:AN36)</f>
        <v>251500</v>
      </c>
      <c r="AO40" s="17">
        <f>SUM($B$36:AO36)</f>
        <v>267500</v>
      </c>
    </row>
    <row r="41" spans="1:41" ht="27" x14ac:dyDescent="0.3">
      <c r="A41" s="14" t="s">
        <v>47</v>
      </c>
      <c r="B41" s="15">
        <f t="shared" ref="B41:AO41" si="14">INT((-(2*$K$4-$L$4)+SQRT((2*$K$4-$L$4)^2+8*$L$4*B40))/(2*$L$4))</f>
        <v>1</v>
      </c>
      <c r="C41" s="15">
        <f t="shared" si="14"/>
        <v>5</v>
      </c>
      <c r="D41" s="15">
        <f t="shared" si="14"/>
        <v>10</v>
      </c>
      <c r="E41" s="15">
        <f t="shared" si="14"/>
        <v>15</v>
      </c>
      <c r="F41" s="16">
        <f t="shared" si="14"/>
        <v>23</v>
      </c>
      <c r="G41" s="15">
        <f t="shared" si="14"/>
        <v>29</v>
      </c>
      <c r="H41" s="15">
        <f t="shared" si="14"/>
        <v>35</v>
      </c>
      <c r="I41" s="15">
        <f t="shared" si="14"/>
        <v>42</v>
      </c>
      <c r="J41" s="15">
        <f t="shared" si="14"/>
        <v>48</v>
      </c>
      <c r="K41" s="17">
        <f t="shared" si="14"/>
        <v>55</v>
      </c>
      <c r="L41" s="15">
        <f t="shared" si="14"/>
        <v>67</v>
      </c>
      <c r="M41" s="15">
        <f t="shared" si="14"/>
        <v>80</v>
      </c>
      <c r="N41" s="15">
        <f t="shared" si="14"/>
        <v>91</v>
      </c>
      <c r="O41" s="15">
        <f t="shared" si="14"/>
        <v>103</v>
      </c>
      <c r="P41" s="16">
        <f t="shared" si="14"/>
        <v>119</v>
      </c>
      <c r="Q41" s="15">
        <f t="shared" si="14"/>
        <v>130</v>
      </c>
      <c r="R41" s="15">
        <f t="shared" si="14"/>
        <v>141</v>
      </c>
      <c r="S41" s="15">
        <f t="shared" si="14"/>
        <v>151</v>
      </c>
      <c r="T41" s="15">
        <f t="shared" si="14"/>
        <v>162</v>
      </c>
      <c r="U41" s="17">
        <f t="shared" si="14"/>
        <v>172</v>
      </c>
      <c r="V41" s="15">
        <f t="shared" si="14"/>
        <v>187</v>
      </c>
      <c r="W41" s="15">
        <f t="shared" si="14"/>
        <v>202</v>
      </c>
      <c r="X41" s="15">
        <f t="shared" si="14"/>
        <v>217</v>
      </c>
      <c r="Y41" s="15">
        <f t="shared" si="14"/>
        <v>232</v>
      </c>
      <c r="Z41" s="16">
        <f t="shared" si="14"/>
        <v>253</v>
      </c>
      <c r="AA41" s="15">
        <f t="shared" si="14"/>
        <v>266</v>
      </c>
      <c r="AB41" s="15">
        <f t="shared" si="14"/>
        <v>280</v>
      </c>
      <c r="AC41" s="15">
        <f t="shared" si="14"/>
        <v>293</v>
      </c>
      <c r="AD41" s="15">
        <f t="shared" si="14"/>
        <v>307</v>
      </c>
      <c r="AE41" s="17">
        <f t="shared" si="14"/>
        <v>320</v>
      </c>
      <c r="AF41" s="15">
        <f t="shared" si="14"/>
        <v>338</v>
      </c>
      <c r="AG41" s="15">
        <f t="shared" si="14"/>
        <v>355</v>
      </c>
      <c r="AH41" s="15">
        <f t="shared" si="14"/>
        <v>372</v>
      </c>
      <c r="AI41" s="15">
        <f t="shared" si="14"/>
        <v>389</v>
      </c>
      <c r="AJ41" s="16">
        <f t="shared" si="14"/>
        <v>413</v>
      </c>
      <c r="AK41" s="15">
        <f t="shared" si="14"/>
        <v>429</v>
      </c>
      <c r="AL41" s="15">
        <f t="shared" si="14"/>
        <v>445</v>
      </c>
      <c r="AM41" s="15">
        <f t="shared" si="14"/>
        <v>461</v>
      </c>
      <c r="AN41" s="15">
        <f t="shared" si="14"/>
        <v>477</v>
      </c>
      <c r="AO41" s="17">
        <f t="shared" si="14"/>
        <v>493</v>
      </c>
    </row>
    <row r="42" spans="1:41" x14ac:dyDescent="0.3">
      <c r="A42" s="14" t="s">
        <v>48</v>
      </c>
      <c r="B42" s="15">
        <f t="shared" ref="B42:AO42" si="15">B40-B41*(2*$K$4+(B41-1)*$L$4)/2</f>
        <v>50</v>
      </c>
      <c r="C42" s="15">
        <f t="shared" si="15"/>
        <v>30</v>
      </c>
      <c r="D42" s="15">
        <f t="shared" si="15"/>
        <v>10</v>
      </c>
      <c r="E42" s="15">
        <f t="shared" si="15"/>
        <v>40</v>
      </c>
      <c r="F42" s="16">
        <f t="shared" si="15"/>
        <v>94</v>
      </c>
      <c r="G42" s="15">
        <f t="shared" si="15"/>
        <v>88</v>
      </c>
      <c r="H42" s="15">
        <f t="shared" si="15"/>
        <v>110</v>
      </c>
      <c r="I42" s="15">
        <f t="shared" si="15"/>
        <v>28</v>
      </c>
      <c r="J42" s="15">
        <f t="shared" si="15"/>
        <v>94</v>
      </c>
      <c r="K42" s="17">
        <f t="shared" si="15"/>
        <v>30</v>
      </c>
      <c r="L42" s="15">
        <f t="shared" si="15"/>
        <v>178</v>
      </c>
      <c r="M42" s="15">
        <f t="shared" si="15"/>
        <v>30</v>
      </c>
      <c r="N42" s="15">
        <f t="shared" si="15"/>
        <v>210</v>
      </c>
      <c r="O42" s="15">
        <f t="shared" si="15"/>
        <v>94</v>
      </c>
      <c r="P42" s="16">
        <f t="shared" si="15"/>
        <v>258</v>
      </c>
      <c r="Q42" s="15">
        <f t="shared" si="15"/>
        <v>180</v>
      </c>
      <c r="R42" s="15">
        <f t="shared" si="15"/>
        <v>60</v>
      </c>
      <c r="S42" s="15">
        <f t="shared" si="15"/>
        <v>250</v>
      </c>
      <c r="T42" s="15">
        <f t="shared" si="15"/>
        <v>68</v>
      </c>
      <c r="U42" s="17">
        <f t="shared" si="15"/>
        <v>238</v>
      </c>
      <c r="V42" s="15">
        <f t="shared" si="15"/>
        <v>418</v>
      </c>
      <c r="W42" s="15">
        <f t="shared" si="15"/>
        <v>448</v>
      </c>
      <c r="X42" s="15">
        <f t="shared" si="15"/>
        <v>328</v>
      </c>
      <c r="Y42" s="15">
        <f t="shared" si="15"/>
        <v>58</v>
      </c>
      <c r="Z42" s="16">
        <f t="shared" si="15"/>
        <v>94</v>
      </c>
      <c r="AA42" s="15">
        <f t="shared" si="15"/>
        <v>510</v>
      </c>
      <c r="AB42" s="15">
        <f t="shared" si="15"/>
        <v>280</v>
      </c>
      <c r="AC42" s="15">
        <f t="shared" si="15"/>
        <v>594</v>
      </c>
      <c r="AD42" s="15">
        <f t="shared" si="15"/>
        <v>208</v>
      </c>
      <c r="AE42" s="17">
        <f t="shared" si="15"/>
        <v>420</v>
      </c>
      <c r="AF42" s="15">
        <f t="shared" si="15"/>
        <v>94</v>
      </c>
      <c r="AG42" s="15">
        <f t="shared" si="15"/>
        <v>280</v>
      </c>
      <c r="AH42" s="15">
        <f t="shared" si="15"/>
        <v>288</v>
      </c>
      <c r="AI42" s="15">
        <f t="shared" si="15"/>
        <v>118</v>
      </c>
      <c r="AJ42" s="16">
        <f t="shared" si="15"/>
        <v>694</v>
      </c>
      <c r="AK42" s="15">
        <f t="shared" si="15"/>
        <v>838</v>
      </c>
      <c r="AL42" s="15">
        <f t="shared" si="15"/>
        <v>870</v>
      </c>
      <c r="AM42" s="15">
        <f t="shared" si="15"/>
        <v>790</v>
      </c>
      <c r="AN42" s="15">
        <f t="shared" si="15"/>
        <v>598</v>
      </c>
      <c r="AO42" s="17">
        <f t="shared" si="15"/>
        <v>294</v>
      </c>
    </row>
    <row r="61" s="3" customFormat="1" ht="27.95" customHeight="1" x14ac:dyDescent="0.3"/>
    <row r="62" s="3" customFormat="1" ht="27.95" customHeight="1" x14ac:dyDescent="0.3"/>
    <row r="63" s="3" customFormat="1" ht="27.95" customHeight="1" x14ac:dyDescent="0.3"/>
    <row r="64" s="3" customFormat="1" ht="27.95" customHeight="1" x14ac:dyDescent="0.3"/>
    <row r="65" spans="1:15" ht="27.95" customHeight="1" x14ac:dyDescent="0.3"/>
    <row r="66" spans="1:15" ht="27.95" customHeight="1" x14ac:dyDescent="0.3"/>
    <row r="67" spans="1:15" ht="27.95" customHeight="1" x14ac:dyDescent="0.3"/>
    <row r="68" spans="1:15" ht="27.95" customHeight="1" x14ac:dyDescent="0.3"/>
    <row r="69" spans="1:15" ht="27.95" customHeight="1" x14ac:dyDescent="0.3"/>
    <row r="70" spans="1:15" ht="27.95" customHeight="1" x14ac:dyDescent="0.3"/>
    <row r="72" spans="1:15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</row>
    <row r="73" spans="1:15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</row>
  </sheetData>
  <mergeCells count="3">
    <mergeCell ref="A1:O1"/>
    <mergeCell ref="A72:O73"/>
    <mergeCell ref="A23:H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2026-09-22T06:45:56Z</dcterms:created>
  <dcterms:modified xsi:type="dcterms:W3CDTF">2026-09-22T06:45:56Z</dcterms:modified>
</cp:coreProperties>
</file>